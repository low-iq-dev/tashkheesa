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tl Tier Matrix" sheetId="1" state="visible" r:id="rId1"/>
    <sheet xmlns:r="http://schemas.openxmlformats.org/officeDocument/2006/relationships" name="Pricing Comparison" sheetId="2" state="visible" r:id="rId2"/>
    <sheet xmlns:r="http://schemas.openxmlformats.org/officeDocument/2006/relationships" name="Method &amp; Summary" sheetId="3" state="visible" r:id="rId3"/>
    <sheet xmlns:r="http://schemas.openxmlformats.org/officeDocument/2006/relationships" name="Intl Benchmarks" sheetId="4" state="visible" r:id="rId4"/>
    <sheet xmlns:r="http://schemas.openxmlformats.org/officeDocument/2006/relationships" name="Intl Per-Service" sheetId="5" state="visible" r:id="rId5"/>
  </sheets>
  <definedNames>
    <definedName name="_xlnm._FilterDatabase" localSheetId="1" hidden="1">'Pricing Comparison'!$A$1:$L$163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  <font>
      <b val="1"/>
      <sz val="13"/>
    </font>
    <font>
      <i val="1"/>
      <color rgb="00555555"/>
      <sz val="9"/>
    </font>
    <font>
      <b val="1"/>
      <color rgb="00FFFFFF"/>
      <sz val="11"/>
    </font>
    <font>
      <b val="1"/>
      <sz val="10"/>
    </font>
    <font>
      <sz val="10"/>
    </font>
    <font>
      <i val="1"/>
      <sz val="9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EAF1F8"/>
        <bgColor rgb="FFFFFFFF"/>
      </patternFill>
    </fill>
    <fill>
      <patternFill patternType="solid">
        <fgColor rgb="001F2A44"/>
      </patternFill>
    </fill>
  </fills>
  <borders count="3">
    <border>
      <left/>
      <right/>
      <top/>
      <bottom/>
      <diagonal/>
    </border>
    <border>
      <left style="thin">
        <color rgb="FFC9D6E3"/>
      </left>
      <right style="thin">
        <color rgb="FFC9D6E3"/>
      </right>
      <top style="thin">
        <color rgb="FFC9D6E3"/>
      </top>
      <bottom style="thin">
        <color rgb="FFC9D6E3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bottom"/>
    </xf>
    <xf numFmtId="3" fontId="5" fillId="3" borderId="1" applyAlignment="1" pivotButton="0" quotePrefix="0" xfId="0">
      <alignment horizontal="general" vertical="bottom"/>
    </xf>
    <xf numFmtId="3" fontId="6" fillId="3" borderId="1" applyAlignment="1" pivotButton="0" quotePrefix="0" xfId="0">
      <alignment horizontal="general" vertical="bottom"/>
    </xf>
    <xf numFmtId="9" fontId="5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9" fontId="5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4" borderId="2" applyAlignment="1" pivotButton="0" quotePrefix="0" xfId="0">
      <alignment horizontal="center"/>
    </xf>
    <xf numFmtId="0" fontId="11" fillId="0" borderId="2" pivotButton="0" quotePrefix="0" xfId="0"/>
    <xf numFmtId="0" fontId="12" fillId="0" borderId="2" pivotButton="0" quotePrefix="0" xfId="0"/>
    <xf numFmtId="0" fontId="12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bottom"/>
    </xf>
    <xf numFmtId="3" fontId="5" fillId="3" borderId="1" applyAlignment="1" pivotButton="0" quotePrefix="0" xfId="0">
      <alignment horizontal="general" vertical="bottom"/>
    </xf>
    <xf numFmtId="3" fontId="6" fillId="3" borderId="1" applyAlignment="1" pivotButton="0" quotePrefix="0" xfId="0">
      <alignment horizontal="general" vertical="bottom"/>
    </xf>
    <xf numFmtId="9" fontId="5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9" fontId="5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0B2545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C9D6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9" customWidth="1" style="12" min="1" max="1"/>
    <col width="10" customWidth="1" style="12" min="2" max="2"/>
    <col width="42" customWidth="1" style="12" min="3" max="3"/>
    <col width="11" customWidth="1" style="12" min="4" max="4"/>
    <col width="12" customWidth="1" style="12" min="5" max="5"/>
    <col width="13" customWidth="1" style="12" min="6" max="6"/>
    <col width="15" customWidth="1" style="12" min="7" max="7"/>
    <col width="16" customWidth="1" style="12" min="8" max="8"/>
    <col width="14" customWidth="1" style="12" min="9" max="9"/>
  </cols>
  <sheetData>
    <row r="1">
      <c r="A1" s="13" t="inlineStr">
        <is>
          <t>International Pricing — tier x market (standard 48h price, local currency)</t>
        </is>
      </c>
    </row>
    <row r="2" ht="42" customHeight="1" s="12">
      <c r="A2" s="14" t="inlineStr">
        <is>
          <t>Doctor share 20% / platform 80% everywhere (structurally prevents commission &gt; price). VIP x1.30 (18h), Urgent x1.60 (4h). USD-equiv shown for cross-market sanity. Prices benchmarked below competitor rates as the Shifa-credentialed value option.</t>
        </is>
      </c>
    </row>
    <row r="4">
      <c r="A4" s="15" t="inlineStr">
        <is>
          <t>Market</t>
        </is>
      </c>
      <c r="B4" s="15" t="inlineStr">
        <is>
          <t>Currency</t>
        </is>
      </c>
      <c r="C4" s="15" t="inlineStr">
        <is>
          <t>Tier</t>
        </is>
      </c>
      <c r="D4" s="15" t="inlineStr">
        <is>
          <t>Standard</t>
        </is>
      </c>
      <c r="E4" s="15" t="inlineStr">
        <is>
          <t>Doctor 20%</t>
        </is>
      </c>
      <c r="F4" s="15" t="inlineStr">
        <is>
          <t>Platform 80%</t>
        </is>
      </c>
      <c r="G4" s="15" t="inlineStr">
        <is>
          <t>VIP 18h (x1.30)</t>
        </is>
      </c>
      <c r="H4" s="15" t="inlineStr">
        <is>
          <t>Urgent 4h (x1.60)</t>
        </is>
      </c>
      <c r="I4" s="15" t="inlineStr">
        <is>
          <t>USD-equiv (std)</t>
        </is>
      </c>
    </row>
    <row r="5">
      <c r="A5" s="16" t="inlineStr">
        <is>
          <t>EG</t>
        </is>
      </c>
      <c r="B5" s="17" t="inlineStr">
        <is>
          <t>EGP</t>
        </is>
      </c>
      <c r="C5" s="17" t="inlineStr">
        <is>
          <t>Quick question (written reply)</t>
        </is>
      </c>
      <c r="D5" s="18" t="n">
        <v>800</v>
      </c>
      <c r="E5" s="18" t="n">
        <v>160</v>
      </c>
      <c r="F5" s="18" t="n">
        <v>640</v>
      </c>
      <c r="G5" s="18" t="n">
        <v>1040</v>
      </c>
      <c r="H5" s="18" t="n">
        <v>1280</v>
      </c>
      <c r="I5" s="17" t="inlineStr">
        <is>
          <t>$17</t>
        </is>
      </c>
    </row>
    <row r="6">
      <c r="A6" s="16" t="inlineStr"/>
      <c r="B6" s="17" t="inlineStr"/>
      <c r="C6" s="17" t="inlineStr">
        <is>
          <t>T1 - Basic test / report</t>
        </is>
      </c>
      <c r="D6" s="18" t="n">
        <v>1600</v>
      </c>
      <c r="E6" s="18" t="n">
        <v>320</v>
      </c>
      <c r="F6" s="18" t="n">
        <v>1280</v>
      </c>
      <c r="G6" s="18" t="n">
        <v>2080</v>
      </c>
      <c r="H6" s="18" t="n">
        <v>2560</v>
      </c>
      <c r="I6" s="17" t="inlineStr">
        <is>
          <t>$33</t>
        </is>
      </c>
    </row>
    <row r="7">
      <c r="A7" s="16" t="inlineStr"/>
      <c r="B7" s="17" t="inlineStr"/>
      <c r="C7" s="17" t="inlineStr">
        <is>
          <t>T2 - Imaging / advanced diagnostic</t>
        </is>
      </c>
      <c r="D7" s="18" t="n">
        <v>2400</v>
      </c>
      <c r="E7" s="18" t="n">
        <v>480</v>
      </c>
      <c r="F7" s="18" t="n">
        <v>1920</v>
      </c>
      <c r="G7" s="18" t="n">
        <v>3120</v>
      </c>
      <c r="H7" s="18" t="n">
        <v>3840</v>
      </c>
      <c r="I7" s="17" t="inlineStr">
        <is>
          <t>$50</t>
        </is>
      </c>
    </row>
    <row r="8">
      <c r="A8" s="16" t="inlineStr"/>
      <c r="B8" s="17" t="inlineStr"/>
      <c r="C8" s="17" t="inlineStr">
        <is>
          <t>T3 - Complex / procedure / management</t>
        </is>
      </c>
      <c r="D8" s="18" t="n">
        <v>3500</v>
      </c>
      <c r="E8" s="18" t="n">
        <v>700</v>
      </c>
      <c r="F8" s="18" t="n">
        <v>2800</v>
      </c>
      <c r="G8" s="18" t="n">
        <v>4550</v>
      </c>
      <c r="H8" s="18" t="n">
        <v>5600</v>
      </c>
      <c r="I8" s="17" t="inlineStr">
        <is>
          <t>$73</t>
        </is>
      </c>
    </row>
    <row r="9">
      <c r="A9" s="16" t="inlineStr"/>
      <c r="B9" s="17" t="inlineStr"/>
      <c r="C9" s="17" t="inlineStr">
        <is>
          <t>T5 - Pre-op / oncology-grade</t>
        </is>
      </c>
      <c r="D9" s="18" t="n">
        <v>5500</v>
      </c>
      <c r="E9" s="18" t="n">
        <v>1100</v>
      </c>
      <c r="F9" s="18" t="n">
        <v>4400</v>
      </c>
      <c r="G9" s="18" t="n">
        <v>7150</v>
      </c>
      <c r="H9" s="18" t="n">
        <v>8800</v>
      </c>
      <c r="I9" s="17" t="inlineStr">
        <is>
          <t>$115</t>
        </is>
      </c>
    </row>
    <row r="11">
      <c r="A11" s="16" t="inlineStr">
        <is>
          <t>US</t>
        </is>
      </c>
      <c r="B11" s="17" t="inlineStr">
        <is>
          <t>USD</t>
        </is>
      </c>
      <c r="C11" s="17" t="inlineStr">
        <is>
          <t>Quick question (written reply)</t>
        </is>
      </c>
      <c r="D11" s="18" t="n">
        <v>39</v>
      </c>
      <c r="E11" s="18" t="n">
        <v>7.8</v>
      </c>
      <c r="F11" s="18" t="n">
        <v>31.2</v>
      </c>
      <c r="G11" s="18" t="n">
        <v>51</v>
      </c>
      <c r="H11" s="18" t="n">
        <v>62</v>
      </c>
      <c r="I11" s="17" t="inlineStr">
        <is>
          <t>$39</t>
        </is>
      </c>
    </row>
    <row r="12">
      <c r="A12" s="16" t="inlineStr"/>
      <c r="B12" s="17" t="inlineStr"/>
      <c r="C12" s="17" t="inlineStr">
        <is>
          <t>T1 - Basic test / report</t>
        </is>
      </c>
      <c r="D12" s="18" t="n">
        <v>120</v>
      </c>
      <c r="E12" s="18" t="n">
        <v>24</v>
      </c>
      <c r="F12" s="18" t="n">
        <v>96</v>
      </c>
      <c r="G12" s="18" t="n">
        <v>156</v>
      </c>
      <c r="H12" s="18" t="n">
        <v>192</v>
      </c>
      <c r="I12" s="17" t="inlineStr">
        <is>
          <t>$120</t>
        </is>
      </c>
    </row>
    <row r="13">
      <c r="A13" s="16" t="inlineStr"/>
      <c r="B13" s="17" t="inlineStr"/>
      <c r="C13" s="17" t="inlineStr">
        <is>
          <t>T2 - Imaging / advanced diagnostic</t>
        </is>
      </c>
      <c r="D13" s="18" t="n">
        <v>200</v>
      </c>
      <c r="E13" s="18" t="n">
        <v>40</v>
      </c>
      <c r="F13" s="18" t="n">
        <v>160</v>
      </c>
      <c r="G13" s="18" t="n">
        <v>260</v>
      </c>
      <c r="H13" s="18" t="n">
        <v>320</v>
      </c>
      <c r="I13" s="17" t="inlineStr">
        <is>
          <t>$200</t>
        </is>
      </c>
    </row>
    <row r="14">
      <c r="A14" s="16" t="inlineStr"/>
      <c r="B14" s="17" t="inlineStr"/>
      <c r="C14" s="17" t="inlineStr">
        <is>
          <t>T3 - Complex / procedure / management</t>
        </is>
      </c>
      <c r="D14" s="18" t="n">
        <v>350</v>
      </c>
      <c r="E14" s="18" t="n">
        <v>70</v>
      </c>
      <c r="F14" s="18" t="n">
        <v>280</v>
      </c>
      <c r="G14" s="18" t="n">
        <v>455</v>
      </c>
      <c r="H14" s="18" t="n">
        <v>560</v>
      </c>
      <c r="I14" s="17" t="inlineStr">
        <is>
          <t>$350</t>
        </is>
      </c>
    </row>
    <row r="15">
      <c r="A15" s="16" t="inlineStr"/>
      <c r="B15" s="17" t="inlineStr"/>
      <c r="C15" s="17" t="inlineStr">
        <is>
          <t>T5 - Pre-op / oncology-grade</t>
        </is>
      </c>
      <c r="D15" s="18" t="n">
        <v>550</v>
      </c>
      <c r="E15" s="18" t="n">
        <v>110</v>
      </c>
      <c r="F15" s="18" t="n">
        <v>440</v>
      </c>
      <c r="G15" s="18" t="n">
        <v>715</v>
      </c>
      <c r="H15" s="18" t="n">
        <v>880</v>
      </c>
      <c r="I15" s="17" t="inlineStr">
        <is>
          <t>$550</t>
        </is>
      </c>
    </row>
    <row r="17">
      <c r="A17" s="16" t="inlineStr">
        <is>
          <t>GB</t>
        </is>
      </c>
      <c r="B17" s="17" t="inlineStr">
        <is>
          <t>GBP</t>
        </is>
      </c>
      <c r="C17" s="17" t="inlineStr">
        <is>
          <t>Quick question (written reply)</t>
        </is>
      </c>
      <c r="D17" s="18" t="n">
        <v>79</v>
      </c>
      <c r="E17" s="18" t="n">
        <v>15.8</v>
      </c>
      <c r="F17" s="18" t="n">
        <v>63.2</v>
      </c>
      <c r="G17" s="18" t="n">
        <v>103</v>
      </c>
      <c r="H17" s="18" t="n">
        <v>126</v>
      </c>
      <c r="I17" s="17" t="inlineStr">
        <is>
          <t>$103</t>
        </is>
      </c>
    </row>
    <row r="18">
      <c r="A18" s="16" t="inlineStr"/>
      <c r="B18" s="17" t="inlineStr"/>
      <c r="C18" s="17" t="inlineStr">
        <is>
          <t>T1 - Basic test / report</t>
        </is>
      </c>
      <c r="D18" s="18" t="n">
        <v>150</v>
      </c>
      <c r="E18" s="18" t="n">
        <v>30</v>
      </c>
      <c r="F18" s="18" t="n">
        <v>120</v>
      </c>
      <c r="G18" s="18" t="n">
        <v>195</v>
      </c>
      <c r="H18" s="18" t="n">
        <v>240</v>
      </c>
      <c r="I18" s="17" t="inlineStr">
        <is>
          <t>$195</t>
        </is>
      </c>
    </row>
    <row r="19">
      <c r="A19" s="16" t="inlineStr"/>
      <c r="B19" s="17" t="inlineStr"/>
      <c r="C19" s="17" t="inlineStr">
        <is>
          <t>T2 - Imaging / advanced diagnostic</t>
        </is>
      </c>
      <c r="D19" s="18" t="n">
        <v>250</v>
      </c>
      <c r="E19" s="18" t="n">
        <v>50</v>
      </c>
      <c r="F19" s="18" t="n">
        <v>200</v>
      </c>
      <c r="G19" s="18" t="n">
        <v>325</v>
      </c>
      <c r="H19" s="18" t="n">
        <v>400</v>
      </c>
      <c r="I19" s="17" t="inlineStr">
        <is>
          <t>$325</t>
        </is>
      </c>
    </row>
    <row r="20">
      <c r="A20" s="16" t="inlineStr"/>
      <c r="B20" s="17" t="inlineStr"/>
      <c r="C20" s="17" t="inlineStr">
        <is>
          <t>T3 - Complex / procedure / management</t>
        </is>
      </c>
      <c r="D20" s="18" t="n">
        <v>400</v>
      </c>
      <c r="E20" s="18" t="n">
        <v>80</v>
      </c>
      <c r="F20" s="18" t="n">
        <v>320</v>
      </c>
      <c r="G20" s="18" t="n">
        <v>520</v>
      </c>
      <c r="H20" s="18" t="n">
        <v>640</v>
      </c>
      <c r="I20" s="17" t="inlineStr">
        <is>
          <t>$519</t>
        </is>
      </c>
    </row>
    <row r="21">
      <c r="A21" s="16" t="inlineStr"/>
      <c r="B21" s="17" t="inlineStr"/>
      <c r="C21" s="17" t="inlineStr">
        <is>
          <t>T5 - Pre-op / oncology-grade</t>
        </is>
      </c>
      <c r="D21" s="18" t="n">
        <v>600</v>
      </c>
      <c r="E21" s="18" t="n">
        <v>120</v>
      </c>
      <c r="F21" s="18" t="n">
        <v>480</v>
      </c>
      <c r="G21" s="18" t="n">
        <v>780</v>
      </c>
      <c r="H21" s="18" t="n">
        <v>960</v>
      </c>
      <c r="I21" s="17" t="inlineStr">
        <is>
          <t>$779</t>
        </is>
      </c>
    </row>
    <row r="23">
      <c r="A23" s="16" t="inlineStr">
        <is>
          <t>AE</t>
        </is>
      </c>
      <c r="B23" s="17" t="inlineStr">
        <is>
          <t>AED</t>
        </is>
      </c>
      <c r="C23" s="17" t="inlineStr">
        <is>
          <t>Quick question (written reply)</t>
        </is>
      </c>
      <c r="D23" s="18" t="n">
        <v>149</v>
      </c>
      <c r="E23" s="18" t="n">
        <v>29.8</v>
      </c>
      <c r="F23" s="18" t="n">
        <v>119.2</v>
      </c>
      <c r="G23" s="18" t="n">
        <v>194</v>
      </c>
      <c r="H23" s="18" t="n">
        <v>238</v>
      </c>
      <c r="I23" s="17" t="inlineStr">
        <is>
          <t>$41</t>
        </is>
      </c>
    </row>
    <row r="24">
      <c r="A24" s="16" t="inlineStr"/>
      <c r="B24" s="17" t="inlineStr"/>
      <c r="C24" s="17" t="inlineStr">
        <is>
          <t>T1 - Basic test / report</t>
        </is>
      </c>
      <c r="D24" s="18" t="n">
        <v>449</v>
      </c>
      <c r="E24" s="18" t="n">
        <v>89.8</v>
      </c>
      <c r="F24" s="18" t="n">
        <v>359.2</v>
      </c>
      <c r="G24" s="18" t="n">
        <v>584</v>
      </c>
      <c r="H24" s="18" t="n">
        <v>718</v>
      </c>
      <c r="I24" s="17" t="inlineStr">
        <is>
          <t>$122</t>
        </is>
      </c>
    </row>
    <row r="25">
      <c r="A25" s="16" t="inlineStr"/>
      <c r="B25" s="17" t="inlineStr"/>
      <c r="C25" s="17" t="inlineStr">
        <is>
          <t>T2 - Imaging / advanced diagnostic</t>
        </is>
      </c>
      <c r="D25" s="18" t="n">
        <v>749</v>
      </c>
      <c r="E25" s="18" t="n">
        <v>149.8</v>
      </c>
      <c r="F25" s="18" t="n">
        <v>599.2</v>
      </c>
      <c r="G25" s="18" t="n">
        <v>974</v>
      </c>
      <c r="H25" s="18" t="n">
        <v>1198</v>
      </c>
      <c r="I25" s="17" t="inlineStr">
        <is>
          <t>$204</t>
        </is>
      </c>
    </row>
    <row r="26">
      <c r="A26" s="16" t="inlineStr"/>
      <c r="B26" s="17" t="inlineStr"/>
      <c r="C26" s="17" t="inlineStr">
        <is>
          <t>T3 - Complex / procedure / management</t>
        </is>
      </c>
      <c r="D26" s="18" t="n">
        <v>1199</v>
      </c>
      <c r="E26" s="18" t="n">
        <v>239.8</v>
      </c>
      <c r="F26" s="18" t="n">
        <v>959.2</v>
      </c>
      <c r="G26" s="18" t="n">
        <v>1559</v>
      </c>
      <c r="H26" s="18" t="n">
        <v>1918</v>
      </c>
      <c r="I26" s="17" t="inlineStr">
        <is>
          <t>$327</t>
        </is>
      </c>
    </row>
    <row r="27">
      <c r="A27" s="16" t="inlineStr"/>
      <c r="B27" s="17" t="inlineStr"/>
      <c r="C27" s="17" t="inlineStr">
        <is>
          <t>T5 - Pre-op / oncology-grade</t>
        </is>
      </c>
      <c r="D27" s="18" t="n">
        <v>1899</v>
      </c>
      <c r="E27" s="18" t="n">
        <v>379.8</v>
      </c>
      <c r="F27" s="18" t="n">
        <v>1519.2</v>
      </c>
      <c r="G27" s="18" t="n">
        <v>2469</v>
      </c>
      <c r="H27" s="18" t="n">
        <v>3038</v>
      </c>
      <c r="I27" s="17" t="inlineStr">
        <is>
          <t>$517</t>
        </is>
      </c>
    </row>
    <row r="29">
      <c r="A29" s="16" t="inlineStr">
        <is>
          <t>SA</t>
        </is>
      </c>
      <c r="B29" s="17" t="inlineStr">
        <is>
          <t>SAR</t>
        </is>
      </c>
      <c r="C29" s="17" t="inlineStr">
        <is>
          <t>Quick question (written reply)</t>
        </is>
      </c>
      <c r="D29" s="18" t="n">
        <v>149</v>
      </c>
      <c r="E29" s="18" t="n">
        <v>29.8</v>
      </c>
      <c r="F29" s="18" t="n">
        <v>119.2</v>
      </c>
      <c r="G29" s="18" t="n">
        <v>194</v>
      </c>
      <c r="H29" s="18" t="n">
        <v>238</v>
      </c>
      <c r="I29" s="17" t="inlineStr">
        <is>
          <t>$40</t>
        </is>
      </c>
    </row>
    <row r="30">
      <c r="A30" s="16" t="inlineStr"/>
      <c r="B30" s="17" t="inlineStr"/>
      <c r="C30" s="17" t="inlineStr">
        <is>
          <t>T1 - Basic test / report</t>
        </is>
      </c>
      <c r="D30" s="18" t="n">
        <v>449</v>
      </c>
      <c r="E30" s="18" t="n">
        <v>89.8</v>
      </c>
      <c r="F30" s="18" t="n">
        <v>359.2</v>
      </c>
      <c r="G30" s="18" t="n">
        <v>584</v>
      </c>
      <c r="H30" s="18" t="n">
        <v>718</v>
      </c>
      <c r="I30" s="17" t="inlineStr">
        <is>
          <t>$120</t>
        </is>
      </c>
    </row>
    <row r="31">
      <c r="A31" s="16" t="inlineStr"/>
      <c r="B31" s="17" t="inlineStr"/>
      <c r="C31" s="17" t="inlineStr">
        <is>
          <t>T2 - Imaging / advanced diagnostic</t>
        </is>
      </c>
      <c r="D31" s="18" t="n">
        <v>749</v>
      </c>
      <c r="E31" s="18" t="n">
        <v>149.8</v>
      </c>
      <c r="F31" s="18" t="n">
        <v>599.2</v>
      </c>
      <c r="G31" s="18" t="n">
        <v>974</v>
      </c>
      <c r="H31" s="18" t="n">
        <v>1198</v>
      </c>
      <c r="I31" s="17" t="inlineStr">
        <is>
          <t>$200</t>
        </is>
      </c>
    </row>
    <row r="32">
      <c r="A32" s="16" t="inlineStr"/>
      <c r="B32" s="17" t="inlineStr"/>
      <c r="C32" s="17" t="inlineStr">
        <is>
          <t>T3 - Complex / procedure / management</t>
        </is>
      </c>
      <c r="D32" s="18" t="n">
        <v>1199</v>
      </c>
      <c r="E32" s="18" t="n">
        <v>239.8</v>
      </c>
      <c r="F32" s="18" t="n">
        <v>959.2</v>
      </c>
      <c r="G32" s="18" t="n">
        <v>1559</v>
      </c>
      <c r="H32" s="18" t="n">
        <v>1918</v>
      </c>
      <c r="I32" s="17" t="inlineStr">
        <is>
          <t>$320</t>
        </is>
      </c>
    </row>
    <row r="33">
      <c r="A33" s="16" t="inlineStr"/>
      <c r="B33" s="17" t="inlineStr"/>
      <c r="C33" s="17" t="inlineStr">
        <is>
          <t>T5 - Pre-op / oncology-grade</t>
        </is>
      </c>
      <c r="D33" s="18" t="n">
        <v>1899</v>
      </c>
      <c r="E33" s="18" t="n">
        <v>379.8</v>
      </c>
      <c r="F33" s="18" t="n">
        <v>1519.2</v>
      </c>
      <c r="G33" s="18" t="n">
        <v>2469</v>
      </c>
      <c r="H33" s="18" t="n">
        <v>3038</v>
      </c>
      <c r="I33" s="17" t="inlineStr">
        <is>
          <t>$506</t>
        </is>
      </c>
    </row>
    <row r="35">
      <c r="A35" s="16" t="inlineStr">
        <is>
          <t>KW</t>
        </is>
      </c>
      <c r="B35" s="17" t="inlineStr">
        <is>
          <t>KWD</t>
        </is>
      </c>
      <c r="C35" s="17" t="inlineStr">
        <is>
          <t>Quick question (written reply)</t>
        </is>
      </c>
      <c r="D35" s="18" t="n">
        <v>12</v>
      </c>
      <c r="E35" s="18" t="n">
        <v>2.4</v>
      </c>
      <c r="F35" s="18" t="n">
        <v>9.6</v>
      </c>
      <c r="G35" s="18" t="n">
        <v>16</v>
      </c>
      <c r="H35" s="18" t="n">
        <v>19</v>
      </c>
      <c r="I35" s="17" t="inlineStr">
        <is>
          <t>$39</t>
        </is>
      </c>
    </row>
    <row r="36">
      <c r="A36" s="16" t="inlineStr"/>
      <c r="B36" s="17" t="inlineStr"/>
      <c r="C36" s="17" t="inlineStr">
        <is>
          <t>T1 - Basic test / report</t>
        </is>
      </c>
      <c r="D36" s="18" t="n">
        <v>35</v>
      </c>
      <c r="E36" s="18" t="n">
        <v>7</v>
      </c>
      <c r="F36" s="18" t="n">
        <v>28</v>
      </c>
      <c r="G36" s="18" t="n">
        <v>46</v>
      </c>
      <c r="H36" s="18" t="n">
        <v>56</v>
      </c>
      <c r="I36" s="17" t="inlineStr">
        <is>
          <t>$114</t>
        </is>
      </c>
    </row>
    <row r="37">
      <c r="A37" s="16" t="inlineStr"/>
      <c r="B37" s="17" t="inlineStr"/>
      <c r="C37" s="17" t="inlineStr">
        <is>
          <t>T2 - Imaging / advanced diagnostic</t>
        </is>
      </c>
      <c r="D37" s="18" t="n">
        <v>59</v>
      </c>
      <c r="E37" s="18" t="n">
        <v>11.8</v>
      </c>
      <c r="F37" s="18" t="n">
        <v>47.2</v>
      </c>
      <c r="G37" s="18" t="n">
        <v>77</v>
      </c>
      <c r="H37" s="18" t="n">
        <v>94</v>
      </c>
      <c r="I37" s="17" t="inlineStr">
        <is>
          <t>$192</t>
        </is>
      </c>
    </row>
    <row r="38">
      <c r="A38" s="16" t="inlineStr"/>
      <c r="B38" s="17" t="inlineStr"/>
      <c r="C38" s="17" t="inlineStr">
        <is>
          <t>T3 - Complex / procedure / management</t>
        </is>
      </c>
      <c r="D38" s="18" t="n">
        <v>95</v>
      </c>
      <c r="E38" s="18" t="n">
        <v>19</v>
      </c>
      <c r="F38" s="18" t="n">
        <v>76</v>
      </c>
      <c r="G38" s="18" t="n">
        <v>124</v>
      </c>
      <c r="H38" s="18" t="n">
        <v>152</v>
      </c>
      <c r="I38" s="17" t="inlineStr">
        <is>
          <t>$309</t>
        </is>
      </c>
    </row>
    <row r="39">
      <c r="A39" s="16" t="inlineStr"/>
      <c r="B39" s="17" t="inlineStr"/>
      <c r="C39" s="17" t="inlineStr">
        <is>
          <t>T5 - Pre-op / oncology-grade</t>
        </is>
      </c>
      <c r="D39" s="18" t="n">
        <v>149</v>
      </c>
      <c r="E39" s="18" t="n">
        <v>29.8</v>
      </c>
      <c r="F39" s="18" t="n">
        <v>119.2</v>
      </c>
      <c r="G39" s="18" t="n">
        <v>194</v>
      </c>
      <c r="H39" s="18" t="n">
        <v>238</v>
      </c>
      <c r="I39" s="17" t="inlineStr">
        <is>
          <t>$485</t>
        </is>
      </c>
    </row>
    <row r="41">
      <c r="A41" s="16" t="inlineStr">
        <is>
          <t>QA</t>
        </is>
      </c>
      <c r="B41" s="17" t="inlineStr">
        <is>
          <t>QAR</t>
        </is>
      </c>
      <c r="C41" s="17" t="inlineStr">
        <is>
          <t>Quick question (written reply)</t>
        </is>
      </c>
      <c r="D41" s="18" t="n">
        <v>149</v>
      </c>
      <c r="E41" s="18" t="n">
        <v>29.8</v>
      </c>
      <c r="F41" s="18" t="n">
        <v>119.2</v>
      </c>
      <c r="G41" s="18" t="n">
        <v>194</v>
      </c>
      <c r="H41" s="18" t="n">
        <v>238</v>
      </c>
      <c r="I41" s="17" t="inlineStr">
        <is>
          <t>$41</t>
        </is>
      </c>
    </row>
    <row r="42">
      <c r="A42" s="16" t="inlineStr"/>
      <c r="B42" s="17" t="inlineStr"/>
      <c r="C42" s="17" t="inlineStr">
        <is>
          <t>T1 - Basic test / report</t>
        </is>
      </c>
      <c r="D42" s="18" t="n">
        <v>449</v>
      </c>
      <c r="E42" s="18" t="n">
        <v>89.8</v>
      </c>
      <c r="F42" s="18" t="n">
        <v>359.2</v>
      </c>
      <c r="G42" s="18" t="n">
        <v>584</v>
      </c>
      <c r="H42" s="18" t="n">
        <v>718</v>
      </c>
      <c r="I42" s="17" t="inlineStr">
        <is>
          <t>$123</t>
        </is>
      </c>
    </row>
    <row r="43">
      <c r="A43" s="16" t="inlineStr"/>
      <c r="B43" s="17" t="inlineStr"/>
      <c r="C43" s="17" t="inlineStr">
        <is>
          <t>T2 - Imaging / advanced diagnostic</t>
        </is>
      </c>
      <c r="D43" s="18" t="n">
        <v>749</v>
      </c>
      <c r="E43" s="18" t="n">
        <v>149.8</v>
      </c>
      <c r="F43" s="18" t="n">
        <v>599.2</v>
      </c>
      <c r="G43" s="18" t="n">
        <v>974</v>
      </c>
      <c r="H43" s="18" t="n">
        <v>1198</v>
      </c>
      <c r="I43" s="17" t="inlineStr">
        <is>
          <t>$206</t>
        </is>
      </c>
    </row>
    <row r="44">
      <c r="A44" s="16" t="inlineStr"/>
      <c r="B44" s="17" t="inlineStr"/>
      <c r="C44" s="17" t="inlineStr">
        <is>
          <t>T3 - Complex / procedure / management</t>
        </is>
      </c>
      <c r="D44" s="18" t="n">
        <v>1199</v>
      </c>
      <c r="E44" s="18" t="n">
        <v>239.8</v>
      </c>
      <c r="F44" s="18" t="n">
        <v>959.2</v>
      </c>
      <c r="G44" s="18" t="n">
        <v>1559</v>
      </c>
      <c r="H44" s="18" t="n">
        <v>1918</v>
      </c>
      <c r="I44" s="17" t="inlineStr">
        <is>
          <t>$329</t>
        </is>
      </c>
    </row>
    <row r="45">
      <c r="A45" s="16" t="inlineStr"/>
      <c r="B45" s="17" t="inlineStr"/>
      <c r="C45" s="17" t="inlineStr">
        <is>
          <t>T5 - Pre-op / oncology-grade</t>
        </is>
      </c>
      <c r="D45" s="18" t="n">
        <v>1899</v>
      </c>
      <c r="E45" s="18" t="n">
        <v>379.8</v>
      </c>
      <c r="F45" s="18" t="n">
        <v>1519.2</v>
      </c>
      <c r="G45" s="18" t="n">
        <v>2469</v>
      </c>
      <c r="H45" s="18" t="n">
        <v>3038</v>
      </c>
      <c r="I45" s="17" t="inlineStr">
        <is>
          <t>$522</t>
        </is>
      </c>
    </row>
    <row r="47">
      <c r="A47" s="16" t="inlineStr">
        <is>
          <t>BH</t>
        </is>
      </c>
      <c r="B47" s="17" t="inlineStr">
        <is>
          <t>BHD</t>
        </is>
      </c>
      <c r="C47" s="17" t="inlineStr">
        <is>
          <t>Quick question (written reply)</t>
        </is>
      </c>
      <c r="D47" s="18" t="n">
        <v>15</v>
      </c>
      <c r="E47" s="18" t="n">
        <v>3</v>
      </c>
      <c r="F47" s="18" t="n">
        <v>12</v>
      </c>
      <c r="G47" s="18" t="n">
        <v>20</v>
      </c>
      <c r="H47" s="18" t="n">
        <v>24</v>
      </c>
      <c r="I47" s="17" t="inlineStr">
        <is>
          <t>$40</t>
        </is>
      </c>
    </row>
    <row r="48">
      <c r="A48" s="16" t="inlineStr"/>
      <c r="B48" s="17" t="inlineStr"/>
      <c r="C48" s="17" t="inlineStr">
        <is>
          <t>T1 - Basic test / report</t>
        </is>
      </c>
      <c r="D48" s="18" t="n">
        <v>45</v>
      </c>
      <c r="E48" s="18" t="n">
        <v>9</v>
      </c>
      <c r="F48" s="18" t="n">
        <v>36</v>
      </c>
      <c r="G48" s="18" t="n">
        <v>58</v>
      </c>
      <c r="H48" s="18" t="n">
        <v>72</v>
      </c>
      <c r="I48" s="17" t="inlineStr">
        <is>
          <t>$120</t>
        </is>
      </c>
    </row>
    <row r="49">
      <c r="A49" s="16" t="inlineStr"/>
      <c r="B49" s="17" t="inlineStr"/>
      <c r="C49" s="17" t="inlineStr">
        <is>
          <t>T2 - Imaging / advanced diagnostic</t>
        </is>
      </c>
      <c r="D49" s="18" t="n">
        <v>75</v>
      </c>
      <c r="E49" s="18" t="n">
        <v>15</v>
      </c>
      <c r="F49" s="18" t="n">
        <v>60</v>
      </c>
      <c r="G49" s="18" t="n">
        <v>98</v>
      </c>
      <c r="H49" s="18" t="n">
        <v>120</v>
      </c>
      <c r="I49" s="17" t="inlineStr">
        <is>
          <t>$199</t>
        </is>
      </c>
    </row>
    <row r="50">
      <c r="A50" s="16" t="inlineStr"/>
      <c r="B50" s="17" t="inlineStr"/>
      <c r="C50" s="17" t="inlineStr">
        <is>
          <t>T3 - Complex / procedure / management</t>
        </is>
      </c>
      <c r="D50" s="18" t="n">
        <v>119</v>
      </c>
      <c r="E50" s="18" t="n">
        <v>23.8</v>
      </c>
      <c r="F50" s="18" t="n">
        <v>95.2</v>
      </c>
      <c r="G50" s="18" t="n">
        <v>155</v>
      </c>
      <c r="H50" s="18" t="n">
        <v>190</v>
      </c>
      <c r="I50" s="17" t="inlineStr">
        <is>
          <t>$316</t>
        </is>
      </c>
    </row>
    <row r="51">
      <c r="A51" s="16" t="inlineStr"/>
      <c r="B51" s="17" t="inlineStr"/>
      <c r="C51" s="17" t="inlineStr">
        <is>
          <t>T5 - Pre-op / oncology-grade</t>
        </is>
      </c>
      <c r="D51" s="18" t="n">
        <v>189</v>
      </c>
      <c r="E51" s="18" t="n">
        <v>37.8</v>
      </c>
      <c r="F51" s="18" t="n">
        <v>151.2</v>
      </c>
      <c r="G51" s="18" t="n">
        <v>246</v>
      </c>
      <c r="H51" s="18" t="n">
        <v>302</v>
      </c>
      <c r="I51" s="17" t="inlineStr">
        <is>
          <t>$503</t>
        </is>
      </c>
    </row>
    <row r="53">
      <c r="A53" s="16" t="inlineStr">
        <is>
          <t>OM</t>
        </is>
      </c>
      <c r="B53" s="17" t="inlineStr">
        <is>
          <t>OMR</t>
        </is>
      </c>
      <c r="C53" s="17" t="inlineStr">
        <is>
          <t>Quick question (written reply)</t>
        </is>
      </c>
      <c r="D53" s="18" t="n">
        <v>15</v>
      </c>
      <c r="E53" s="18" t="n">
        <v>3</v>
      </c>
      <c r="F53" s="18" t="n">
        <v>12</v>
      </c>
      <c r="G53" s="18" t="n">
        <v>20</v>
      </c>
      <c r="H53" s="18" t="n">
        <v>24</v>
      </c>
      <c r="I53" s="17" t="inlineStr">
        <is>
          <t>$39</t>
        </is>
      </c>
    </row>
    <row r="54">
      <c r="A54" s="16" t="inlineStr"/>
      <c r="B54" s="17" t="inlineStr"/>
      <c r="C54" s="17" t="inlineStr">
        <is>
          <t>T1 - Basic test / report</t>
        </is>
      </c>
      <c r="D54" s="18" t="n">
        <v>45</v>
      </c>
      <c r="E54" s="18" t="n">
        <v>9</v>
      </c>
      <c r="F54" s="18" t="n">
        <v>36</v>
      </c>
      <c r="G54" s="18" t="n">
        <v>58</v>
      </c>
      <c r="H54" s="18" t="n">
        <v>72</v>
      </c>
      <c r="I54" s="17" t="inlineStr">
        <is>
          <t>$117</t>
        </is>
      </c>
    </row>
    <row r="55">
      <c r="A55" s="16" t="inlineStr"/>
      <c r="B55" s="17" t="inlineStr"/>
      <c r="C55" s="17" t="inlineStr">
        <is>
          <t>T2 - Imaging / advanced diagnostic</t>
        </is>
      </c>
      <c r="D55" s="18" t="n">
        <v>75</v>
      </c>
      <c r="E55" s="18" t="n">
        <v>15</v>
      </c>
      <c r="F55" s="18" t="n">
        <v>60</v>
      </c>
      <c r="G55" s="18" t="n">
        <v>98</v>
      </c>
      <c r="H55" s="18" t="n">
        <v>120</v>
      </c>
      <c r="I55" s="17" t="inlineStr">
        <is>
          <t>$195</t>
        </is>
      </c>
    </row>
    <row r="56">
      <c r="A56" s="16" t="inlineStr"/>
      <c r="B56" s="17" t="inlineStr"/>
      <c r="C56" s="17" t="inlineStr">
        <is>
          <t>T3 - Complex / procedure / management</t>
        </is>
      </c>
      <c r="D56" s="18" t="n">
        <v>119</v>
      </c>
      <c r="E56" s="18" t="n">
        <v>23.8</v>
      </c>
      <c r="F56" s="18" t="n">
        <v>95.2</v>
      </c>
      <c r="G56" s="18" t="n">
        <v>155</v>
      </c>
      <c r="H56" s="18" t="n">
        <v>190</v>
      </c>
      <c r="I56" s="17" t="inlineStr">
        <is>
          <t>$309</t>
        </is>
      </c>
    </row>
    <row r="57">
      <c r="A57" s="16" t="inlineStr"/>
      <c r="B57" s="17" t="inlineStr"/>
      <c r="C57" s="17" t="inlineStr">
        <is>
          <t>T5 - Pre-op / oncology-grade</t>
        </is>
      </c>
      <c r="D57" s="18" t="n">
        <v>189</v>
      </c>
      <c r="E57" s="18" t="n">
        <v>37.8</v>
      </c>
      <c r="F57" s="18" t="n">
        <v>151.2</v>
      </c>
      <c r="G57" s="18" t="n">
        <v>246</v>
      </c>
      <c r="H57" s="18" t="n">
        <v>302</v>
      </c>
      <c r="I57" s="17" t="inlineStr">
        <is>
          <t>$491</t>
        </is>
      </c>
    </row>
  </sheetData>
  <mergeCells count="1"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6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34" customWidth="1" style="19" min="2" max="2"/>
    <col width="10" customWidth="1" style="19" min="3" max="3"/>
    <col width="30" customWidth="1" style="19" min="4" max="4"/>
    <col width="14" customWidth="1" style="19" min="5" max="6"/>
    <col width="15" customWidth="1" style="19" min="7" max="7"/>
    <col width="13" customWidth="1" style="19" min="8" max="9"/>
    <col width="12" customWidth="1" style="19" min="10" max="10"/>
    <col width="13" customWidth="1" style="19" min="11" max="11"/>
    <col width="14" customWidth="1" style="19" min="12" max="12"/>
  </cols>
  <sheetData>
    <row r="1" ht="35.05" customHeight="1" s="12">
      <c r="A1" s="20" t="inlineStr">
        <is>
          <t>Specialty</t>
        </is>
      </c>
      <c r="B1" s="20" t="inlineStr">
        <is>
          <t>Service</t>
        </is>
      </c>
      <c r="C1" s="20" t="inlineStr">
        <is>
          <t>Visible in app</t>
        </is>
      </c>
      <c r="D1" s="20" t="inlineStr">
        <is>
          <t>Tier (proposed)</t>
        </is>
      </c>
      <c r="E1" s="20" t="inlineStr">
        <is>
          <t>Current price (EGP)</t>
        </is>
      </c>
      <c r="F1" s="20" t="inlineStr">
        <is>
          <t>Current doctor fee (EGP)</t>
        </is>
      </c>
      <c r="G1" s="20" t="inlineStr">
        <is>
          <t>NEW recommended (EGP)</t>
        </is>
      </c>
      <c r="H1" s="20" t="inlineStr">
        <is>
          <t>New doctor 20% (EGP)</t>
        </is>
      </c>
      <c r="I1" s="20" t="inlineStr">
        <is>
          <t>New platform 80% (EGP)</t>
        </is>
      </c>
      <c r="J1" s="20" t="inlineStr">
        <is>
          <t>Change vs current</t>
        </is>
      </c>
      <c r="K1" s="20" t="inlineStr">
        <is>
          <t>New VIP 18h (x1.30)</t>
        </is>
      </c>
      <c r="L1" s="20" t="inlineStr">
        <is>
          <t>New Urgent 4h (x1.60)</t>
        </is>
      </c>
    </row>
    <row r="2" ht="15" customHeight="1" s="12">
      <c r="A2" s="21" t="inlineStr">
        <is>
          <t>Cardiology</t>
        </is>
      </c>
      <c r="B2" s="21" t="inlineStr">
        <is>
          <t>12-Lead ECG Interpretation</t>
        </is>
      </c>
      <c r="C2" s="21" t="inlineStr">
        <is>
          <t>Yes</t>
        </is>
      </c>
      <c r="D2" s="21" t="inlineStr">
        <is>
          <t>T1 - Basic test / report</t>
        </is>
      </c>
      <c r="E2" s="22" t="n">
        <v>1250</v>
      </c>
      <c r="F2" s="22">
        <f>E2*0.2</f>
        <v/>
      </c>
      <c r="G2" s="23" t="n">
        <v>1600</v>
      </c>
      <c r="H2" s="22">
        <f>ROUND(G2*0.2,0)</f>
        <v/>
      </c>
      <c r="I2" s="22">
        <f>G2-H2</f>
        <v/>
      </c>
      <c r="J2" s="24">
        <f>IF(ISNUMBER(E2),G2/E2-1,"new")</f>
        <v/>
      </c>
      <c r="K2" s="22">
        <f>ROUND(G2*1.3,0)</f>
        <v/>
      </c>
      <c r="L2" s="22">
        <f>ROUND(G2*1.6,0)</f>
        <v/>
      </c>
    </row>
    <row r="3" ht="15" customHeight="1" s="12">
      <c r="A3" s="25" t="inlineStr">
        <is>
          <t>Cardiology</t>
        </is>
      </c>
      <c r="B3" s="25" t="inlineStr">
        <is>
          <t>Calcium Score Review</t>
        </is>
      </c>
      <c r="C3" s="25" t="inlineStr">
        <is>
          <t>Yes</t>
        </is>
      </c>
      <c r="D3" s="25" t="inlineStr">
        <is>
          <t>T2 - Imaging / advanced diagnostic</t>
        </is>
      </c>
      <c r="E3" s="26" t="n">
        <v>3680</v>
      </c>
      <c r="F3" s="26">
        <f>E3*0.2</f>
        <v/>
      </c>
      <c r="G3" s="27" t="n">
        <v>2400</v>
      </c>
      <c r="H3" s="26">
        <f>ROUND(G3*0.2,0)</f>
        <v/>
      </c>
      <c r="I3" s="26">
        <f>G3-H3</f>
        <v/>
      </c>
      <c r="J3" s="28">
        <f>IF(ISNUMBER(E3),G3/E3-1,"new")</f>
        <v/>
      </c>
      <c r="K3" s="26">
        <f>ROUND(G3*1.3,0)</f>
        <v/>
      </c>
      <c r="L3" s="26">
        <f>ROUND(G3*1.6,0)</f>
        <v/>
      </c>
    </row>
    <row r="4" ht="15" customHeight="1" s="12">
      <c r="A4" s="21" t="inlineStr">
        <is>
          <t>Cardiology</t>
        </is>
      </c>
      <c r="B4" s="21" t="inlineStr">
        <is>
          <t>Cardiac MR Review</t>
        </is>
      </c>
      <c r="C4" s="21" t="inlineStr">
        <is>
          <t>Yes</t>
        </is>
      </c>
      <c r="D4" s="21" t="inlineStr">
        <is>
          <t>T2 - Imaging / advanced diagnostic</t>
        </is>
      </c>
      <c r="E4" s="22" t="n">
        <v>8395</v>
      </c>
      <c r="F4" s="22">
        <f>E4*0.2</f>
        <v/>
      </c>
      <c r="G4" s="23" t="n">
        <v>2400</v>
      </c>
      <c r="H4" s="22">
        <f>ROUND(G4*0.2,0)</f>
        <v/>
      </c>
      <c r="I4" s="22">
        <f>G4-H4</f>
        <v/>
      </c>
      <c r="J4" s="24">
        <f>IF(ISNUMBER(E4),G4/E4-1,"new")</f>
        <v/>
      </c>
      <c r="K4" s="22">
        <f>ROUND(G4*1.3,0)</f>
        <v/>
      </c>
      <c r="L4" s="22">
        <f>ROUND(G4*1.6,0)</f>
        <v/>
      </c>
    </row>
    <row r="5" ht="15" customHeight="1" s="12">
      <c r="A5" s="25" t="inlineStr">
        <is>
          <t>Cardiology</t>
        </is>
      </c>
      <c r="B5" s="25" t="inlineStr">
        <is>
          <t>CT Coronary Angiography Review</t>
        </is>
      </c>
      <c r="C5" s="25" t="inlineStr">
        <is>
          <t>Yes</t>
        </is>
      </c>
      <c r="D5" s="25" t="inlineStr">
        <is>
          <t>T3 - Complex / procedure / management</t>
        </is>
      </c>
      <c r="E5" s="26" t="n">
        <v>7935</v>
      </c>
      <c r="F5" s="26">
        <f>E5*0.2</f>
        <v/>
      </c>
      <c r="G5" s="27" t="n">
        <v>3500</v>
      </c>
      <c r="H5" s="26">
        <f>ROUND(G5*0.2,0)</f>
        <v/>
      </c>
      <c r="I5" s="26">
        <f>G5-H5</f>
        <v/>
      </c>
      <c r="J5" s="28">
        <f>IF(ISNUMBER(E5),G5/E5-1,"new")</f>
        <v/>
      </c>
      <c r="K5" s="26">
        <f>ROUND(G5*1.3,0)</f>
        <v/>
      </c>
      <c r="L5" s="26">
        <f>ROUND(G5*1.6,0)</f>
        <v/>
      </c>
    </row>
    <row r="6" ht="15" customHeight="1" s="12">
      <c r="A6" s="21" t="inlineStr">
        <is>
          <t>Cardiology</t>
        </is>
      </c>
      <c r="B6" s="21" t="inlineStr">
        <is>
          <t>Echocardiogram Review</t>
        </is>
      </c>
      <c r="C6" s="21" t="inlineStr">
        <is>
          <t>Yes</t>
        </is>
      </c>
      <c r="D6" s="21" t="inlineStr">
        <is>
          <t>T2 - Imaging / advanced diagnostic</t>
        </is>
      </c>
      <c r="E6" s="22" t="n">
        <v>1380</v>
      </c>
      <c r="F6" s="22">
        <f>E6*0.2</f>
        <v/>
      </c>
      <c r="G6" s="23" t="n">
        <v>2400</v>
      </c>
      <c r="H6" s="22">
        <f>ROUND(G6*0.2,0)</f>
        <v/>
      </c>
      <c r="I6" s="22">
        <f>G6-H6</f>
        <v/>
      </c>
      <c r="J6" s="24">
        <f>IF(ISNUMBER(E6),G6/E6-1,"new")</f>
        <v/>
      </c>
      <c r="K6" s="22">
        <f>ROUND(G6*1.3,0)</f>
        <v/>
      </c>
      <c r="L6" s="22">
        <f>ROUND(G6*1.6,0)</f>
        <v/>
      </c>
    </row>
    <row r="7" ht="15" customHeight="1" s="12">
      <c r="A7" s="25" t="inlineStr">
        <is>
          <t>Cardiology</t>
        </is>
      </c>
      <c r="B7" s="25" t="inlineStr">
        <is>
          <t>Event Monitor Review</t>
        </is>
      </c>
      <c r="C7" s="25" t="inlineStr">
        <is>
          <t>Hidden</t>
        </is>
      </c>
      <c r="D7" s="25" t="inlineStr">
        <is>
          <t>T2 - Imaging / advanced diagnostic</t>
        </is>
      </c>
      <c r="E7" s="26" t="inlineStr">
        <is>
          <t>—</t>
        </is>
      </c>
      <c r="F7" s="26" t="inlineStr">
        <is>
          <t>—</t>
        </is>
      </c>
      <c r="G7" s="27" t="n">
        <v>2400</v>
      </c>
      <c r="H7" s="26">
        <f>ROUND(G7*0.2,0)</f>
        <v/>
      </c>
      <c r="I7" s="26">
        <f>G7-H7</f>
        <v/>
      </c>
      <c r="J7" s="28">
        <f>IF(ISNUMBER(E7),G7/E7-1,"new")</f>
        <v/>
      </c>
      <c r="K7" s="26">
        <f>ROUND(G7*1.3,0)</f>
        <v/>
      </c>
      <c r="L7" s="26">
        <f>ROUND(G7*1.6,0)</f>
        <v/>
      </c>
    </row>
    <row r="8" ht="15" customHeight="1" s="12">
      <c r="A8" s="21" t="inlineStr">
        <is>
          <t>Cardiology</t>
        </is>
      </c>
      <c r="B8" s="21" t="inlineStr">
        <is>
          <t>Holter Monitor (24-72h) Review</t>
        </is>
      </c>
      <c r="C8" s="21" t="inlineStr">
        <is>
          <t>Yes</t>
        </is>
      </c>
      <c r="D8" s="21" t="inlineStr">
        <is>
          <t>T2 - Imaging / advanced diagnostic</t>
        </is>
      </c>
      <c r="E8" s="22" t="n">
        <v>3450</v>
      </c>
      <c r="F8" s="22">
        <f>E8*0.2</f>
        <v/>
      </c>
      <c r="G8" s="23" t="n">
        <v>2400</v>
      </c>
      <c r="H8" s="22">
        <f>ROUND(G8*0.2,0)</f>
        <v/>
      </c>
      <c r="I8" s="22">
        <f>G8-H8</f>
        <v/>
      </c>
      <c r="J8" s="24">
        <f>IF(ISNUMBER(E8),G8/E8-1,"new")</f>
        <v/>
      </c>
      <c r="K8" s="22">
        <f>ROUND(G8*1.3,0)</f>
        <v/>
      </c>
      <c r="L8" s="22">
        <f>ROUND(G8*1.6,0)</f>
        <v/>
      </c>
    </row>
    <row r="9" ht="15" customHeight="1" s="12">
      <c r="A9" s="25" t="inlineStr">
        <is>
          <t>Cardiology</t>
        </is>
      </c>
      <c r="B9" s="25" t="inlineStr">
        <is>
          <t>Pre-Op Cardiac Clearance</t>
        </is>
      </c>
      <c r="C9" s="25" t="inlineStr">
        <is>
          <t>Hidden</t>
        </is>
      </c>
      <c r="D9" s="25" t="inlineStr">
        <is>
          <t>T5 - Pre-op / oncology-grade</t>
        </is>
      </c>
      <c r="E9" s="26" t="inlineStr">
        <is>
          <t>—</t>
        </is>
      </c>
      <c r="F9" s="26" t="inlineStr">
        <is>
          <t>—</t>
        </is>
      </c>
      <c r="G9" s="27" t="n">
        <v>5500</v>
      </c>
      <c r="H9" s="26">
        <f>ROUND(G9*0.2,0)</f>
        <v/>
      </c>
      <c r="I9" s="26">
        <f>G9-H9</f>
        <v/>
      </c>
      <c r="J9" s="28">
        <f>IF(ISNUMBER(E9),G9/E9-1,"new")</f>
        <v/>
      </c>
      <c r="K9" s="26">
        <f>ROUND(G9*1.3,0)</f>
        <v/>
      </c>
      <c r="L9" s="26">
        <f>ROUND(G9*1.6,0)</f>
        <v/>
      </c>
    </row>
    <row r="10" ht="15" customHeight="1" s="12">
      <c r="A10" s="21" t="inlineStr">
        <is>
          <t>Cardiology</t>
        </is>
      </c>
      <c r="B10" s="21" t="inlineStr">
        <is>
          <t>Rhythm Strip Analysis</t>
        </is>
      </c>
      <c r="C10" s="21" t="inlineStr">
        <is>
          <t>Yes</t>
        </is>
      </c>
      <c r="D10" s="21" t="inlineStr">
        <is>
          <t>T1 - Basic test / report</t>
        </is>
      </c>
      <c r="E10" s="22" t="n">
        <v>1250</v>
      </c>
      <c r="F10" s="22">
        <f>E10*0.2</f>
        <v/>
      </c>
      <c r="G10" s="23" t="n">
        <v>1600</v>
      </c>
      <c r="H10" s="22">
        <f>ROUND(G10*0.2,0)</f>
        <v/>
      </c>
      <c r="I10" s="22">
        <f>G10-H10</f>
        <v/>
      </c>
      <c r="J10" s="24">
        <f>IF(ISNUMBER(E10),G10/E10-1,"new")</f>
        <v/>
      </c>
      <c r="K10" s="22">
        <f>ROUND(G10*1.3,0)</f>
        <v/>
      </c>
      <c r="L10" s="22">
        <f>ROUND(G10*1.6,0)</f>
        <v/>
      </c>
    </row>
    <row r="11" ht="15" customHeight="1" s="12">
      <c r="A11" s="25" t="inlineStr">
        <is>
          <t>Cardiology</t>
        </is>
      </c>
      <c r="B11" s="25" t="inlineStr">
        <is>
          <t>Stress Echo Review</t>
        </is>
      </c>
      <c r="C11" s="25" t="inlineStr">
        <is>
          <t>Yes</t>
        </is>
      </c>
      <c r="D11" s="25" t="inlineStr">
        <is>
          <t>T2 - Imaging / advanced diagnostic</t>
        </is>
      </c>
      <c r="E11" s="26" t="n">
        <v>2070</v>
      </c>
      <c r="F11" s="26">
        <f>E11*0.2</f>
        <v/>
      </c>
      <c r="G11" s="27" t="n">
        <v>2400</v>
      </c>
      <c r="H11" s="26">
        <f>ROUND(G11*0.2,0)</f>
        <v/>
      </c>
      <c r="I11" s="26">
        <f>G11-H11</f>
        <v/>
      </c>
      <c r="J11" s="28">
        <f>IF(ISNUMBER(E11),G11/E11-1,"new")</f>
        <v/>
      </c>
      <c r="K11" s="26">
        <f>ROUND(G11*1.3,0)</f>
        <v/>
      </c>
      <c r="L11" s="26">
        <f>ROUND(G11*1.6,0)</f>
        <v/>
      </c>
    </row>
    <row r="12" ht="15" customHeight="1" s="12">
      <c r="A12" s="21" t="inlineStr">
        <is>
          <t>Cardiology</t>
        </is>
      </c>
      <c r="B12" s="21" t="inlineStr">
        <is>
          <t>Stress Treadmill Test Review</t>
        </is>
      </c>
      <c r="C12" s="21" t="inlineStr">
        <is>
          <t>Yes</t>
        </is>
      </c>
      <c r="D12" s="21" t="inlineStr">
        <is>
          <t>T2 - Imaging / advanced diagnostic</t>
        </is>
      </c>
      <c r="E12" s="22" t="n">
        <v>1553</v>
      </c>
      <c r="F12" s="22">
        <f>E12*0.2</f>
        <v/>
      </c>
      <c r="G12" s="23" t="n">
        <v>2400</v>
      </c>
      <c r="H12" s="22">
        <f>ROUND(G12*0.2,0)</f>
        <v/>
      </c>
      <c r="I12" s="22">
        <f>G12-H12</f>
        <v/>
      </c>
      <c r="J12" s="24">
        <f>IF(ISNUMBER(E12),G12/E12-1,"new")</f>
        <v/>
      </c>
      <c r="K12" s="22">
        <f>ROUND(G12*1.3,0)</f>
        <v/>
      </c>
      <c r="L12" s="22">
        <f>ROUND(G12*1.6,0)</f>
        <v/>
      </c>
    </row>
    <row r="13" ht="15" customHeight="1" s="12">
      <c r="A13" s="25" t="inlineStr">
        <is>
          <t>Cardiothoracic Surgery</t>
        </is>
      </c>
      <c r="B13" s="25" t="inlineStr">
        <is>
          <t>Cardiothoracic Surgery Consultation</t>
        </is>
      </c>
      <c r="C13" s="25" t="inlineStr">
        <is>
          <t>Yes</t>
        </is>
      </c>
      <c r="D13" s="25" t="inlineStr">
        <is>
          <t>T3 - Complex / procedure / management</t>
        </is>
      </c>
      <c r="E13" s="26" t="n">
        <v>2500</v>
      </c>
      <c r="F13" s="26">
        <f>E13*0.2</f>
        <v/>
      </c>
      <c r="G13" s="27" t="n">
        <v>3500</v>
      </c>
      <c r="H13" s="26">
        <f>ROUND(G13*0.2,0)</f>
        <v/>
      </c>
      <c r="I13" s="26">
        <f>G13-H13</f>
        <v/>
      </c>
      <c r="J13" s="28">
        <f>IF(ISNUMBER(E13),G13/E13-1,"new")</f>
        <v/>
      </c>
      <c r="K13" s="26">
        <f>ROUND(G13*1.3,0)</f>
        <v/>
      </c>
      <c r="L13" s="26">
        <f>ROUND(G13*1.6,0)</f>
        <v/>
      </c>
    </row>
    <row r="14" ht="15" customHeight="1" s="12">
      <c r="A14" s="21" t="inlineStr">
        <is>
          <t>Clinical Nutrition</t>
        </is>
      </c>
      <c r="B14" s="21" t="inlineStr">
        <is>
          <t>Clinical Nutrition Consultation</t>
        </is>
      </c>
      <c r="C14" s="21" t="inlineStr">
        <is>
          <t>Yes</t>
        </is>
      </c>
      <c r="D14" s="21" t="inlineStr">
        <is>
          <t>T3 - Complex / procedure / management</t>
        </is>
      </c>
      <c r="E14" s="22" t="n">
        <v>1250</v>
      </c>
      <c r="F14" s="22">
        <f>E14*0.2</f>
        <v/>
      </c>
      <c r="G14" s="23" t="n">
        <v>3500</v>
      </c>
      <c r="H14" s="22">
        <f>ROUND(G14*0.2,0)</f>
        <v/>
      </c>
      <c r="I14" s="22">
        <f>G14-H14</f>
        <v/>
      </c>
      <c r="J14" s="24">
        <f>IF(ISNUMBER(E14),G14/E14-1,"new")</f>
        <v/>
      </c>
      <c r="K14" s="22">
        <f>ROUND(G14*1.3,0)</f>
        <v/>
      </c>
      <c r="L14" s="22">
        <f>ROUND(G14*1.6,0)</f>
        <v/>
      </c>
    </row>
    <row r="15" ht="15" customHeight="1" s="12">
      <c r="A15" s="25" t="inlineStr">
        <is>
          <t>Dermatology</t>
        </is>
      </c>
      <c r="B15" s="25" t="inlineStr">
        <is>
          <t>Autoimmune Skin Panel Review</t>
        </is>
      </c>
      <c r="C15" s="25" t="inlineStr">
        <is>
          <t>Yes</t>
        </is>
      </c>
      <c r="D15" s="25" t="inlineStr">
        <is>
          <t>T2 - Imaging / advanced diagnostic</t>
        </is>
      </c>
      <c r="E15" s="26" t="n">
        <v>5980</v>
      </c>
      <c r="F15" s="26">
        <f>E15*0.2</f>
        <v/>
      </c>
      <c r="G15" s="27" t="n">
        <v>2400</v>
      </c>
      <c r="H15" s="26">
        <f>ROUND(G15*0.2,0)</f>
        <v/>
      </c>
      <c r="I15" s="26">
        <f>G15-H15</f>
        <v/>
      </c>
      <c r="J15" s="28">
        <f>IF(ISNUMBER(E15),G15/E15-1,"new")</f>
        <v/>
      </c>
      <c r="K15" s="26">
        <f>ROUND(G15*1.3,0)</f>
        <v/>
      </c>
      <c r="L15" s="26">
        <f>ROUND(G15*1.6,0)</f>
        <v/>
      </c>
    </row>
    <row r="16" ht="15" customHeight="1" s="12">
      <c r="A16" s="21" t="inlineStr">
        <is>
          <t>Dermatology</t>
        </is>
      </c>
      <c r="B16" s="21" t="inlineStr">
        <is>
          <t>Chronic Wound Review</t>
        </is>
      </c>
      <c r="C16" s="21" t="inlineStr">
        <is>
          <t>Yes</t>
        </is>
      </c>
      <c r="D16" s="21" t="inlineStr">
        <is>
          <t>T2 - Imaging / advanced diagnostic</t>
        </is>
      </c>
      <c r="E16" s="22" t="n">
        <v>2990</v>
      </c>
      <c r="F16" s="22">
        <f>E16*0.2</f>
        <v/>
      </c>
      <c r="G16" s="23" t="n">
        <v>2400</v>
      </c>
      <c r="H16" s="22">
        <f>ROUND(G16*0.2,0)</f>
        <v/>
      </c>
      <c r="I16" s="22">
        <f>G16-H16</f>
        <v/>
      </c>
      <c r="J16" s="24">
        <f>IF(ISNUMBER(E16),G16/E16-1,"new")</f>
        <v/>
      </c>
      <c r="K16" s="22">
        <f>ROUND(G16*1.3,0)</f>
        <v/>
      </c>
      <c r="L16" s="22">
        <f>ROUND(G16*1.6,0)</f>
        <v/>
      </c>
    </row>
    <row r="17" ht="15" customHeight="1" s="12">
      <c r="A17" s="25" t="inlineStr">
        <is>
          <t>Dermatology</t>
        </is>
      </c>
      <c r="B17" s="25" t="inlineStr">
        <is>
          <t>Clinical Photo Review</t>
        </is>
      </c>
      <c r="C17" s="25" t="inlineStr">
        <is>
          <t>Yes</t>
        </is>
      </c>
      <c r="D17" s="25" t="inlineStr">
        <is>
          <t>T1 - Basic test / report</t>
        </is>
      </c>
      <c r="E17" s="26" t="n">
        <v>2645</v>
      </c>
      <c r="F17" s="26">
        <f>E17*0.2</f>
        <v/>
      </c>
      <c r="G17" s="27" t="n">
        <v>1600</v>
      </c>
      <c r="H17" s="26">
        <f>ROUND(G17*0.2,0)</f>
        <v/>
      </c>
      <c r="I17" s="26">
        <f>G17-H17</f>
        <v/>
      </c>
      <c r="J17" s="28">
        <f>IF(ISNUMBER(E17),G17/E17-1,"new")</f>
        <v/>
      </c>
      <c r="K17" s="26">
        <f>ROUND(G17*1.3,0)</f>
        <v/>
      </c>
      <c r="L17" s="26">
        <f>ROUND(G17*1.6,0)</f>
        <v/>
      </c>
    </row>
    <row r="18" ht="15" customHeight="1" s="12">
      <c r="A18" s="21" t="inlineStr">
        <is>
          <t>Dermatology</t>
        </is>
      </c>
      <c r="B18" s="21" t="inlineStr">
        <is>
          <t>Dermoscopy Review</t>
        </is>
      </c>
      <c r="C18" s="21" t="inlineStr">
        <is>
          <t>Yes</t>
        </is>
      </c>
      <c r="D18" s="21" t="inlineStr">
        <is>
          <t>T2 - Imaging / advanced diagnostic</t>
        </is>
      </c>
      <c r="E18" s="22" t="n">
        <v>3680</v>
      </c>
      <c r="F18" s="22">
        <f>E18*0.2</f>
        <v/>
      </c>
      <c r="G18" s="23" t="n">
        <v>2400</v>
      </c>
      <c r="H18" s="22">
        <f>ROUND(G18*0.2,0)</f>
        <v/>
      </c>
      <c r="I18" s="22">
        <f>G18-H18</f>
        <v/>
      </c>
      <c r="J18" s="24">
        <f>IF(ISNUMBER(E18),G18/E18-1,"new")</f>
        <v/>
      </c>
      <c r="K18" s="22">
        <f>ROUND(G18*1.3,0)</f>
        <v/>
      </c>
      <c r="L18" s="22">
        <f>ROUND(G18*1.6,0)</f>
        <v/>
      </c>
    </row>
    <row r="19" ht="15" customHeight="1" s="12">
      <c r="A19" s="25" t="inlineStr">
        <is>
          <t>Dermatology</t>
        </is>
      </c>
      <c r="B19" s="25" t="inlineStr">
        <is>
          <t>Hair Loss Workup Review</t>
        </is>
      </c>
      <c r="C19" s="25" t="inlineStr">
        <is>
          <t>Yes</t>
        </is>
      </c>
      <c r="D19" s="25" t="inlineStr">
        <is>
          <t>T3 - Complex / procedure / management</t>
        </is>
      </c>
      <c r="E19" s="26" t="n">
        <v>2990</v>
      </c>
      <c r="F19" s="26">
        <f>E19*0.2</f>
        <v/>
      </c>
      <c r="G19" s="27" t="n">
        <v>3500</v>
      </c>
      <c r="H19" s="26">
        <f>ROUND(G19*0.2,0)</f>
        <v/>
      </c>
      <c r="I19" s="26">
        <f>G19-H19</f>
        <v/>
      </c>
      <c r="J19" s="28">
        <f>IF(ISNUMBER(E19),G19/E19-1,"new")</f>
        <v/>
      </c>
      <c r="K19" s="26">
        <f>ROUND(G19*1.3,0)</f>
        <v/>
      </c>
      <c r="L19" s="26">
        <f>ROUND(G19*1.6,0)</f>
        <v/>
      </c>
    </row>
    <row r="20" ht="15" customHeight="1" s="12">
      <c r="A20" s="21" t="inlineStr">
        <is>
          <t>Dermatology</t>
        </is>
      </c>
      <c r="B20" s="21" t="inlineStr">
        <is>
          <t>Patch Test Review</t>
        </is>
      </c>
      <c r="C20" s="21" t="inlineStr">
        <is>
          <t>Yes</t>
        </is>
      </c>
      <c r="D20" s="21" t="inlineStr">
        <is>
          <t>T1 - Basic test / report</t>
        </is>
      </c>
      <c r="E20" s="22" t="n">
        <v>2990</v>
      </c>
      <c r="F20" s="22">
        <f>E20*0.2</f>
        <v/>
      </c>
      <c r="G20" s="23" t="n">
        <v>1600</v>
      </c>
      <c r="H20" s="22">
        <f>ROUND(G20*0.2,0)</f>
        <v/>
      </c>
      <c r="I20" s="22">
        <f>G20-H20</f>
        <v/>
      </c>
      <c r="J20" s="24">
        <f>IF(ISNUMBER(E20),G20/E20-1,"new")</f>
        <v/>
      </c>
      <c r="K20" s="22">
        <f>ROUND(G20*1.3,0)</f>
        <v/>
      </c>
      <c r="L20" s="22">
        <f>ROUND(G20*1.6,0)</f>
        <v/>
      </c>
    </row>
    <row r="21" ht="15" customHeight="1" s="12">
      <c r="A21" s="25" t="inlineStr">
        <is>
          <t>Dermatology</t>
        </is>
      </c>
      <c r="B21" s="25" t="inlineStr">
        <is>
          <t>Psoriasis Management Review</t>
        </is>
      </c>
      <c r="C21" s="25" t="inlineStr">
        <is>
          <t>Yes</t>
        </is>
      </c>
      <c r="D21" s="25" t="inlineStr">
        <is>
          <t>T3 - Complex / procedure / management</t>
        </is>
      </c>
      <c r="E21" s="26" t="n">
        <v>2990</v>
      </c>
      <c r="F21" s="26">
        <f>E21*0.2</f>
        <v/>
      </c>
      <c r="G21" s="27" t="n">
        <v>3500</v>
      </c>
      <c r="H21" s="26">
        <f>ROUND(G21*0.2,0)</f>
        <v/>
      </c>
      <c r="I21" s="26">
        <f>G21-H21</f>
        <v/>
      </c>
      <c r="J21" s="28">
        <f>IF(ISNUMBER(E21),G21/E21-1,"new")</f>
        <v/>
      </c>
      <c r="K21" s="26">
        <f>ROUND(G21*1.3,0)</f>
        <v/>
      </c>
      <c r="L21" s="26">
        <f>ROUND(G21*1.6,0)</f>
        <v/>
      </c>
    </row>
    <row r="22" ht="15" customHeight="1" s="12">
      <c r="A22" s="21" t="inlineStr">
        <is>
          <t>Dermatology</t>
        </is>
      </c>
      <c r="B22" s="21" t="inlineStr">
        <is>
          <t>Skin Biopsy Report Review</t>
        </is>
      </c>
      <c r="C22" s="21" t="inlineStr">
        <is>
          <t>Yes</t>
        </is>
      </c>
      <c r="D22" s="21" t="inlineStr">
        <is>
          <t>T3 - Complex / procedure / management</t>
        </is>
      </c>
      <c r="E22" s="22" t="n">
        <v>5980</v>
      </c>
      <c r="F22" s="22">
        <f>E22*0.2</f>
        <v/>
      </c>
      <c r="G22" s="23" t="n">
        <v>3500</v>
      </c>
      <c r="H22" s="22">
        <f>ROUND(G22*0.2,0)</f>
        <v/>
      </c>
      <c r="I22" s="22">
        <f>G22-H22</f>
        <v/>
      </c>
      <c r="J22" s="24">
        <f>IF(ISNUMBER(E22),G22/E22-1,"new")</f>
        <v/>
      </c>
      <c r="K22" s="22">
        <f>ROUND(G22*1.3,0)</f>
        <v/>
      </c>
      <c r="L22" s="22">
        <f>ROUND(G22*1.6,0)</f>
        <v/>
      </c>
    </row>
    <row r="23" ht="15" customHeight="1" s="12">
      <c r="A23" s="25" t="inlineStr">
        <is>
          <t>Emergency Medicine</t>
        </is>
      </c>
      <c r="B23" s="25" t="inlineStr">
        <is>
          <t>Emergency Medicine Consultation</t>
        </is>
      </c>
      <c r="C23" s="25" t="inlineStr">
        <is>
          <t>Yes</t>
        </is>
      </c>
      <c r="D23" s="25" t="inlineStr">
        <is>
          <t>T3 - Complex / procedure / management</t>
        </is>
      </c>
      <c r="E23" s="26" t="n">
        <v>1500</v>
      </c>
      <c r="F23" s="26">
        <f>E23*0.2</f>
        <v/>
      </c>
      <c r="G23" s="27" t="n">
        <v>3500</v>
      </c>
      <c r="H23" s="26">
        <f>ROUND(G23*0.2,0)</f>
        <v/>
      </c>
      <c r="I23" s="26">
        <f>G23-H23</f>
        <v/>
      </c>
      <c r="J23" s="28">
        <f>IF(ISNUMBER(E23),G23/E23-1,"new")</f>
        <v/>
      </c>
      <c r="K23" s="26">
        <f>ROUND(G23*1.3,0)</f>
        <v/>
      </c>
      <c r="L23" s="26">
        <f>ROUND(G23*1.6,0)</f>
        <v/>
      </c>
    </row>
    <row r="24" ht="15" customHeight="1" s="12">
      <c r="A24" s="21" t="inlineStr">
        <is>
          <t>Endocrinology</t>
        </is>
      </c>
      <c r="B24" s="21" t="inlineStr">
        <is>
          <t>Adrenal Workup Review</t>
        </is>
      </c>
      <c r="C24" s="21" t="inlineStr">
        <is>
          <t>Yes</t>
        </is>
      </c>
      <c r="D24" s="21" t="inlineStr">
        <is>
          <t>T3 - Complex / procedure / management</t>
        </is>
      </c>
      <c r="E24" s="22" t="n">
        <v>5175</v>
      </c>
      <c r="F24" s="22">
        <f>E24*0.2</f>
        <v/>
      </c>
      <c r="G24" s="23" t="n">
        <v>3500</v>
      </c>
      <c r="H24" s="22">
        <f>ROUND(G24*0.2,0)</f>
        <v/>
      </c>
      <c r="I24" s="22">
        <f>G24-H24</f>
        <v/>
      </c>
      <c r="J24" s="24">
        <f>IF(ISNUMBER(E24),G24/E24-1,"new")</f>
        <v/>
      </c>
      <c r="K24" s="22">
        <f>ROUND(G24*1.3,0)</f>
        <v/>
      </c>
      <c r="L24" s="22">
        <f>ROUND(G24*1.6,0)</f>
        <v/>
      </c>
    </row>
    <row r="25" ht="15" customHeight="1" s="12">
      <c r="A25" s="25" t="inlineStr">
        <is>
          <t>Endocrinology</t>
        </is>
      </c>
      <c r="B25" s="25" t="inlineStr">
        <is>
          <t>Diabetes Management Review</t>
        </is>
      </c>
      <c r="C25" s="25" t="inlineStr">
        <is>
          <t>Yes</t>
        </is>
      </c>
      <c r="D25" s="25" t="inlineStr">
        <is>
          <t>T3 - Complex / procedure / management</t>
        </is>
      </c>
      <c r="E25" s="26" t="n">
        <v>2990</v>
      </c>
      <c r="F25" s="26">
        <f>E25*0.2</f>
        <v/>
      </c>
      <c r="G25" s="27" t="n">
        <v>3500</v>
      </c>
      <c r="H25" s="26">
        <f>ROUND(G25*0.2,0)</f>
        <v/>
      </c>
      <c r="I25" s="26">
        <f>G25-H25</f>
        <v/>
      </c>
      <c r="J25" s="28">
        <f>IF(ISNUMBER(E25),G25/E25-1,"new")</f>
        <v/>
      </c>
      <c r="K25" s="26">
        <f>ROUND(G25*1.3,0)</f>
        <v/>
      </c>
      <c r="L25" s="26">
        <f>ROUND(G25*1.6,0)</f>
        <v/>
      </c>
    </row>
    <row r="26" ht="15" customHeight="1" s="12">
      <c r="A26" s="21" t="inlineStr">
        <is>
          <t>Endocrinology</t>
        </is>
      </c>
      <c r="B26" s="21" t="inlineStr">
        <is>
          <t>Full Thyroid Panel Review</t>
        </is>
      </c>
      <c r="C26" s="21" t="inlineStr">
        <is>
          <t>Yes</t>
        </is>
      </c>
      <c r="D26" s="21" t="inlineStr">
        <is>
          <t>T2 - Imaging / advanced diagnostic</t>
        </is>
      </c>
      <c r="E26" s="22" t="n">
        <v>1725</v>
      </c>
      <c r="F26" s="22">
        <f>E26*0.2</f>
        <v/>
      </c>
      <c r="G26" s="23" t="n">
        <v>2400</v>
      </c>
      <c r="H26" s="22">
        <f>ROUND(G26*0.2,0)</f>
        <v/>
      </c>
      <c r="I26" s="22">
        <f>G26-H26</f>
        <v/>
      </c>
      <c r="J26" s="24">
        <f>IF(ISNUMBER(E26),G26/E26-1,"new")</f>
        <v/>
      </c>
      <c r="K26" s="22">
        <f>ROUND(G26*1.3,0)</f>
        <v/>
      </c>
      <c r="L26" s="22">
        <f>ROUND(G26*1.6,0)</f>
        <v/>
      </c>
    </row>
    <row r="27" ht="15" customHeight="1" s="12">
      <c r="A27" s="25" t="inlineStr">
        <is>
          <t>Endocrinology</t>
        </is>
      </c>
      <c r="B27" s="25" t="inlineStr">
        <is>
          <t>Growth Hormone Panel Review</t>
        </is>
      </c>
      <c r="C27" s="25" t="inlineStr">
        <is>
          <t>Yes</t>
        </is>
      </c>
      <c r="D27" s="25" t="inlineStr">
        <is>
          <t>T2 - Imaging / advanced diagnostic</t>
        </is>
      </c>
      <c r="E27" s="26" t="n">
        <v>5175</v>
      </c>
      <c r="F27" s="26">
        <f>E27*0.2</f>
        <v/>
      </c>
      <c r="G27" s="27" t="n">
        <v>2400</v>
      </c>
      <c r="H27" s="26">
        <f>ROUND(G27*0.2,0)</f>
        <v/>
      </c>
      <c r="I27" s="26">
        <f>G27-H27</f>
        <v/>
      </c>
      <c r="J27" s="28">
        <f>IF(ISNUMBER(E27),G27/E27-1,"new")</f>
        <v/>
      </c>
      <c r="K27" s="26">
        <f>ROUND(G27*1.3,0)</f>
        <v/>
      </c>
      <c r="L27" s="26">
        <f>ROUND(G27*1.6,0)</f>
        <v/>
      </c>
    </row>
    <row r="28" ht="15" customHeight="1" s="12">
      <c r="A28" s="21" t="inlineStr">
        <is>
          <t>Endocrinology</t>
        </is>
      </c>
      <c r="B28" s="21" t="inlineStr">
        <is>
          <t>Lipid Disorder Management</t>
        </is>
      </c>
      <c r="C28" s="21" t="inlineStr">
        <is>
          <t>Yes</t>
        </is>
      </c>
      <c r="D28" s="21" t="inlineStr">
        <is>
          <t>T3 - Complex / procedure / management</t>
        </is>
      </c>
      <c r="E28" s="22" t="n">
        <v>1725</v>
      </c>
      <c r="F28" s="22">
        <f>E28*0.2</f>
        <v/>
      </c>
      <c r="G28" s="23" t="n">
        <v>3500</v>
      </c>
      <c r="H28" s="22">
        <f>ROUND(G28*0.2,0)</f>
        <v/>
      </c>
      <c r="I28" s="22">
        <f>G28-H28</f>
        <v/>
      </c>
      <c r="J28" s="24">
        <f>IF(ISNUMBER(E28),G28/E28-1,"new")</f>
        <v/>
      </c>
      <c r="K28" s="22">
        <f>ROUND(G28*1.3,0)</f>
        <v/>
      </c>
      <c r="L28" s="22">
        <f>ROUND(G28*1.6,0)</f>
        <v/>
      </c>
    </row>
    <row r="29" ht="15" customHeight="1" s="12">
      <c r="A29" s="25" t="inlineStr">
        <is>
          <t>Endocrinology</t>
        </is>
      </c>
      <c r="B29" s="25" t="inlineStr">
        <is>
          <t>Obesity/Metabolic Review</t>
        </is>
      </c>
      <c r="C29" s="25" t="inlineStr">
        <is>
          <t>Yes</t>
        </is>
      </c>
      <c r="D29" s="25" t="inlineStr">
        <is>
          <t>T2 - Imaging / advanced diagnostic</t>
        </is>
      </c>
      <c r="E29" s="26" t="n">
        <v>2990</v>
      </c>
      <c r="F29" s="26">
        <f>E29*0.2</f>
        <v/>
      </c>
      <c r="G29" s="27" t="n">
        <v>2400</v>
      </c>
      <c r="H29" s="26">
        <f>ROUND(G29*0.2,0)</f>
        <v/>
      </c>
      <c r="I29" s="26">
        <f>G29-H29</f>
        <v/>
      </c>
      <c r="J29" s="28">
        <f>IF(ISNUMBER(E29),G29/E29-1,"new")</f>
        <v/>
      </c>
      <c r="K29" s="26">
        <f>ROUND(G29*1.3,0)</f>
        <v/>
      </c>
      <c r="L29" s="26">
        <f>ROUND(G29*1.6,0)</f>
        <v/>
      </c>
    </row>
    <row r="30" ht="15" customHeight="1" s="12">
      <c r="A30" s="21" t="inlineStr">
        <is>
          <t>Endocrinology</t>
        </is>
      </c>
      <c r="B30" s="21" t="inlineStr">
        <is>
          <t>Osteoporosis Workup Review</t>
        </is>
      </c>
      <c r="C30" s="21" t="inlineStr">
        <is>
          <t>Yes</t>
        </is>
      </c>
      <c r="D30" s="21" t="inlineStr">
        <is>
          <t>T3 - Complex / procedure / management</t>
        </is>
      </c>
      <c r="E30" s="22" t="n">
        <v>2645</v>
      </c>
      <c r="F30" s="22">
        <f>E30*0.2</f>
        <v/>
      </c>
      <c r="G30" s="23" t="n">
        <v>3500</v>
      </c>
      <c r="H30" s="22">
        <f>ROUND(G30*0.2,0)</f>
        <v/>
      </c>
      <c r="I30" s="22">
        <f>G30-H30</f>
        <v/>
      </c>
      <c r="J30" s="24">
        <f>IF(ISNUMBER(E30),G30/E30-1,"new")</f>
        <v/>
      </c>
      <c r="K30" s="22">
        <f>ROUND(G30*1.3,0)</f>
        <v/>
      </c>
      <c r="L30" s="22">
        <f>ROUND(G30*1.6,0)</f>
        <v/>
      </c>
    </row>
    <row r="31" ht="15" customHeight="1" s="12">
      <c r="A31" s="25" t="inlineStr">
        <is>
          <t>Endocrinology</t>
        </is>
      </c>
      <c r="B31" s="25" t="inlineStr">
        <is>
          <t>PCOS Panel Review</t>
        </is>
      </c>
      <c r="C31" s="25" t="inlineStr">
        <is>
          <t>Yes</t>
        </is>
      </c>
      <c r="D31" s="25" t="inlineStr">
        <is>
          <t>T2 - Imaging / advanced diagnostic</t>
        </is>
      </c>
      <c r="E31" s="26" t="n">
        <v>2990</v>
      </c>
      <c r="F31" s="26">
        <f>E31*0.2</f>
        <v/>
      </c>
      <c r="G31" s="27" t="n">
        <v>2400</v>
      </c>
      <c r="H31" s="26">
        <f>ROUND(G31*0.2,0)</f>
        <v/>
      </c>
      <c r="I31" s="26">
        <f>G31-H31</f>
        <v/>
      </c>
      <c r="J31" s="28">
        <f>IF(ISNUMBER(E31),G31/E31-1,"new")</f>
        <v/>
      </c>
      <c r="K31" s="26">
        <f>ROUND(G31*1.3,0)</f>
        <v/>
      </c>
      <c r="L31" s="26">
        <f>ROUND(G31*1.6,0)</f>
        <v/>
      </c>
    </row>
    <row r="32" ht="15" customHeight="1" s="12">
      <c r="A32" s="21" t="inlineStr">
        <is>
          <t>Endocrinology</t>
        </is>
      </c>
      <c r="B32" s="21" t="inlineStr">
        <is>
          <t>Pituitary MRI Review</t>
        </is>
      </c>
      <c r="C32" s="21" t="inlineStr">
        <is>
          <t>Yes</t>
        </is>
      </c>
      <c r="D32" s="21" t="inlineStr">
        <is>
          <t>T2 - Imaging / advanced diagnostic</t>
        </is>
      </c>
      <c r="E32" s="22" t="n">
        <v>5175</v>
      </c>
      <c r="F32" s="22">
        <f>E32*0.2</f>
        <v/>
      </c>
      <c r="G32" s="23" t="n">
        <v>2400</v>
      </c>
      <c r="H32" s="22">
        <f>ROUND(G32*0.2,0)</f>
        <v/>
      </c>
      <c r="I32" s="22">
        <f>G32-H32</f>
        <v/>
      </c>
      <c r="J32" s="24">
        <f>IF(ISNUMBER(E32),G32/E32-1,"new")</f>
        <v/>
      </c>
      <c r="K32" s="22">
        <f>ROUND(G32*1.3,0)</f>
        <v/>
      </c>
      <c r="L32" s="22">
        <f>ROUND(G32*1.6,0)</f>
        <v/>
      </c>
    </row>
    <row r="33" ht="15" customHeight="1" s="12">
      <c r="A33" s="25" t="inlineStr">
        <is>
          <t>Endocrinology</t>
        </is>
      </c>
      <c r="B33" s="25" t="inlineStr">
        <is>
          <t>Thyroid Ultrasound Review</t>
        </is>
      </c>
      <c r="C33" s="25" t="inlineStr">
        <is>
          <t>Yes</t>
        </is>
      </c>
      <c r="D33" s="25" t="inlineStr">
        <is>
          <t>T1 - Basic test / report</t>
        </is>
      </c>
      <c r="E33" s="26" t="n">
        <v>2185</v>
      </c>
      <c r="F33" s="26">
        <f>E33*0.2</f>
        <v/>
      </c>
      <c r="G33" s="27" t="n">
        <v>1600</v>
      </c>
      <c r="H33" s="26">
        <f>ROUND(G33*0.2,0)</f>
        <v/>
      </c>
      <c r="I33" s="26">
        <f>G33-H33</f>
        <v/>
      </c>
      <c r="J33" s="28">
        <f>IF(ISNUMBER(E33),G33/E33-1,"new")</f>
        <v/>
      </c>
      <c r="K33" s="26">
        <f>ROUND(G33*1.3,0)</f>
        <v/>
      </c>
      <c r="L33" s="26">
        <f>ROUND(G33*1.6,0)</f>
        <v/>
      </c>
    </row>
    <row r="34" ht="15" customHeight="1" s="12">
      <c r="A34" s="21" t="inlineStr">
        <is>
          <t>Gastroenterology</t>
        </is>
      </c>
      <c r="B34" s="21" t="inlineStr">
        <is>
          <t>Capsule Endoscopy Review</t>
        </is>
      </c>
      <c r="C34" s="21" t="inlineStr">
        <is>
          <t>Yes</t>
        </is>
      </c>
      <c r="D34" s="21" t="inlineStr">
        <is>
          <t>T3 - Complex / procedure / management</t>
        </is>
      </c>
      <c r="E34" s="22" t="n">
        <v>10465</v>
      </c>
      <c r="F34" s="22">
        <f>E34*0.2</f>
        <v/>
      </c>
      <c r="G34" s="23" t="n">
        <v>3500</v>
      </c>
      <c r="H34" s="22">
        <f>ROUND(G34*0.2,0)</f>
        <v/>
      </c>
      <c r="I34" s="22">
        <f>G34-H34</f>
        <v/>
      </c>
      <c r="J34" s="24">
        <f>IF(ISNUMBER(E34),G34/E34-1,"new")</f>
        <v/>
      </c>
      <c r="K34" s="22">
        <f>ROUND(G34*1.3,0)</f>
        <v/>
      </c>
      <c r="L34" s="22">
        <f>ROUND(G34*1.6,0)</f>
        <v/>
      </c>
    </row>
    <row r="35" ht="15" customHeight="1" s="12">
      <c r="A35" s="25" t="inlineStr">
        <is>
          <t>Gastroenterology</t>
        </is>
      </c>
      <c r="B35" s="25" t="inlineStr">
        <is>
          <t>Colonoscopy Report Review</t>
        </is>
      </c>
      <c r="C35" s="25" t="inlineStr">
        <is>
          <t>Yes</t>
        </is>
      </c>
      <c r="D35" s="25" t="inlineStr">
        <is>
          <t>T3 - Complex / procedure / management</t>
        </is>
      </c>
      <c r="E35" s="26" t="n">
        <v>4485</v>
      </c>
      <c r="F35" s="26">
        <f>E35*0.2</f>
        <v/>
      </c>
      <c r="G35" s="27" t="n">
        <v>3500</v>
      </c>
      <c r="H35" s="26">
        <f>ROUND(G35*0.2,0)</f>
        <v/>
      </c>
      <c r="I35" s="26">
        <f>G35-H35</f>
        <v/>
      </c>
      <c r="J35" s="28">
        <f>IF(ISNUMBER(E35),G35/E35-1,"new")</f>
        <v/>
      </c>
      <c r="K35" s="26">
        <f>ROUND(G35*1.3,0)</f>
        <v/>
      </c>
      <c r="L35" s="26">
        <f>ROUND(G35*1.6,0)</f>
        <v/>
      </c>
    </row>
    <row r="36" ht="15" customHeight="1" s="12">
      <c r="A36" s="21" t="inlineStr">
        <is>
          <t>Gastroenterology</t>
        </is>
      </c>
      <c r="B36" s="21" t="inlineStr">
        <is>
          <t>Endoscopy Report Review</t>
        </is>
      </c>
      <c r="C36" s="21" t="inlineStr">
        <is>
          <t>Yes</t>
        </is>
      </c>
      <c r="D36" s="21" t="inlineStr">
        <is>
          <t>T3 - Complex / procedure / management</t>
        </is>
      </c>
      <c r="E36" s="22" t="n">
        <v>4485</v>
      </c>
      <c r="F36" s="22">
        <f>E36*0.2</f>
        <v/>
      </c>
      <c r="G36" s="23" t="n">
        <v>3500</v>
      </c>
      <c r="H36" s="22">
        <f>ROUND(G36*0.2,0)</f>
        <v/>
      </c>
      <c r="I36" s="22">
        <f>G36-H36</f>
        <v/>
      </c>
      <c r="J36" s="24">
        <f>IF(ISNUMBER(E36),G36/E36-1,"new")</f>
        <v/>
      </c>
      <c r="K36" s="22">
        <f>ROUND(G36*1.3,0)</f>
        <v/>
      </c>
      <c r="L36" s="22">
        <f>ROUND(G36*1.6,0)</f>
        <v/>
      </c>
    </row>
    <row r="37" ht="15" customHeight="1" s="12">
      <c r="A37" s="25" t="inlineStr">
        <is>
          <t>Gastroenterology</t>
        </is>
      </c>
      <c r="B37" s="25" t="inlineStr">
        <is>
          <t>FibroScan/Elastography Review</t>
        </is>
      </c>
      <c r="C37" s="25" t="inlineStr">
        <is>
          <t>Yes</t>
        </is>
      </c>
      <c r="D37" s="25" t="inlineStr">
        <is>
          <t>T2 - Imaging / advanced diagnostic</t>
        </is>
      </c>
      <c r="E37" s="26" t="n">
        <v>3680</v>
      </c>
      <c r="F37" s="26">
        <f>E37*0.2</f>
        <v/>
      </c>
      <c r="G37" s="27" t="n">
        <v>2400</v>
      </c>
      <c r="H37" s="26">
        <f>ROUND(G37*0.2,0)</f>
        <v/>
      </c>
      <c r="I37" s="26">
        <f>G37-H37</f>
        <v/>
      </c>
      <c r="J37" s="28">
        <f>IF(ISNUMBER(E37),G37/E37-1,"new")</f>
        <v/>
      </c>
      <c r="K37" s="26">
        <f>ROUND(G37*1.3,0)</f>
        <v/>
      </c>
      <c r="L37" s="26">
        <f>ROUND(G37*1.6,0)</f>
        <v/>
      </c>
    </row>
    <row r="38" ht="15" customHeight="1" s="12">
      <c r="A38" s="21" t="inlineStr">
        <is>
          <t>Gastroenterology</t>
        </is>
      </c>
      <c r="B38" s="21" t="inlineStr">
        <is>
          <t>Hepatitis B/C Panel Review</t>
        </is>
      </c>
      <c r="C38" s="21" t="inlineStr">
        <is>
          <t>Yes</t>
        </is>
      </c>
      <c r="D38" s="21" t="inlineStr">
        <is>
          <t>T2 - Imaging / advanced diagnostic</t>
        </is>
      </c>
      <c r="E38" s="22" t="n">
        <v>3105</v>
      </c>
      <c r="F38" s="22">
        <f>E38*0.2</f>
        <v/>
      </c>
      <c r="G38" s="23" t="n">
        <v>2400</v>
      </c>
      <c r="H38" s="22">
        <f>ROUND(G38*0.2,0)</f>
        <v/>
      </c>
      <c r="I38" s="22">
        <f>G38-H38</f>
        <v/>
      </c>
      <c r="J38" s="24">
        <f>IF(ISNUMBER(E38),G38/E38-1,"new")</f>
        <v/>
      </c>
      <c r="K38" s="22">
        <f>ROUND(G38*1.3,0)</f>
        <v/>
      </c>
      <c r="L38" s="22">
        <f>ROUND(G38*1.6,0)</f>
        <v/>
      </c>
    </row>
    <row r="39" ht="15" customHeight="1" s="12">
      <c r="A39" s="25" t="inlineStr">
        <is>
          <t>Gastroenterology</t>
        </is>
      </c>
      <c r="B39" s="25" t="inlineStr">
        <is>
          <t>IBD Investigation Review</t>
        </is>
      </c>
      <c r="C39" s="25" t="inlineStr">
        <is>
          <t>Yes</t>
        </is>
      </c>
      <c r="D39" s="25" t="inlineStr">
        <is>
          <t>T3 - Complex / procedure / management</t>
        </is>
      </c>
      <c r="E39" s="26" t="n">
        <v>5980</v>
      </c>
      <c r="F39" s="26">
        <f>E39*0.2</f>
        <v/>
      </c>
      <c r="G39" s="27" t="n">
        <v>3500</v>
      </c>
      <c r="H39" s="26">
        <f>ROUND(G39*0.2,0)</f>
        <v/>
      </c>
      <c r="I39" s="26">
        <f>G39-H39</f>
        <v/>
      </c>
      <c r="J39" s="28">
        <f>IF(ISNUMBER(E39),G39/E39-1,"new")</f>
        <v/>
      </c>
      <c r="K39" s="26">
        <f>ROUND(G39*1.3,0)</f>
        <v/>
      </c>
      <c r="L39" s="26">
        <f>ROUND(G39*1.6,0)</f>
        <v/>
      </c>
    </row>
    <row r="40" ht="15" customHeight="1" s="12">
      <c r="A40" s="21" t="inlineStr">
        <is>
          <t>Gastroenterology</t>
        </is>
      </c>
      <c r="B40" s="21" t="inlineStr">
        <is>
          <t>Liver Biopsy Report Review</t>
        </is>
      </c>
      <c r="C40" s="21" t="inlineStr">
        <is>
          <t>Yes</t>
        </is>
      </c>
      <c r="D40" s="21" t="inlineStr">
        <is>
          <t>T3 - Complex / procedure / management</t>
        </is>
      </c>
      <c r="E40" s="22" t="n">
        <v>10465</v>
      </c>
      <c r="F40" s="22">
        <f>E40*0.2</f>
        <v/>
      </c>
      <c r="G40" s="23" t="n">
        <v>3500</v>
      </c>
      <c r="H40" s="22">
        <f>ROUND(G40*0.2,0)</f>
        <v/>
      </c>
      <c r="I40" s="22">
        <f>G40-H40</f>
        <v/>
      </c>
      <c r="J40" s="24">
        <f>IF(ISNUMBER(E40),G40/E40-1,"new")</f>
        <v/>
      </c>
      <c r="K40" s="22">
        <f>ROUND(G40*1.3,0)</f>
        <v/>
      </c>
      <c r="L40" s="22">
        <f>ROUND(G40*1.6,0)</f>
        <v/>
      </c>
    </row>
    <row r="41" ht="15" customHeight="1" s="12">
      <c r="A41" s="25" t="inlineStr">
        <is>
          <t>Gastroenterology</t>
        </is>
      </c>
      <c r="B41" s="25" t="inlineStr">
        <is>
          <t>Liver MRI Review</t>
        </is>
      </c>
      <c r="C41" s="25" t="inlineStr">
        <is>
          <t>Yes</t>
        </is>
      </c>
      <c r="D41" s="25" t="inlineStr">
        <is>
          <t>T2 - Imaging / advanced diagnostic</t>
        </is>
      </c>
      <c r="E41" s="26" t="n">
        <v>8970</v>
      </c>
      <c r="F41" s="26">
        <f>E41*0.2</f>
        <v/>
      </c>
      <c r="G41" s="27" t="n">
        <v>2400</v>
      </c>
      <c r="H41" s="26">
        <f>ROUND(G41*0.2,0)</f>
        <v/>
      </c>
      <c r="I41" s="26">
        <f>G41-H41</f>
        <v/>
      </c>
      <c r="J41" s="28">
        <f>IF(ISNUMBER(E41),G41/E41-1,"new")</f>
        <v/>
      </c>
      <c r="K41" s="26">
        <f>ROUND(G41*1.3,0)</f>
        <v/>
      </c>
      <c r="L41" s="26">
        <f>ROUND(G41*1.6,0)</f>
        <v/>
      </c>
    </row>
    <row r="42" ht="15" customHeight="1" s="12">
      <c r="A42" s="21" t="inlineStr">
        <is>
          <t>Gastroenterology</t>
        </is>
      </c>
      <c r="B42" s="21" t="inlineStr">
        <is>
          <t>Liver Ultrasound Review</t>
        </is>
      </c>
      <c r="C42" s="21" t="inlineStr">
        <is>
          <t>Yes</t>
        </is>
      </c>
      <c r="D42" s="21" t="inlineStr">
        <is>
          <t>T1 - Basic test / report</t>
        </is>
      </c>
      <c r="E42" s="22" t="n">
        <v>2185</v>
      </c>
      <c r="F42" s="22">
        <f>E42*0.2</f>
        <v/>
      </c>
      <c r="G42" s="23" t="n">
        <v>1600</v>
      </c>
      <c r="H42" s="22">
        <f>ROUND(G42*0.2,0)</f>
        <v/>
      </c>
      <c r="I42" s="22">
        <f>G42-H42</f>
        <v/>
      </c>
      <c r="J42" s="24">
        <f>IF(ISNUMBER(E42),G42/E42-1,"new")</f>
        <v/>
      </c>
      <c r="K42" s="22">
        <f>ROUND(G42*1.3,0)</f>
        <v/>
      </c>
      <c r="L42" s="22">
        <f>ROUND(G42*1.6,0)</f>
        <v/>
      </c>
    </row>
    <row r="43" ht="15" customHeight="1" s="12">
      <c r="A43" s="25" t="inlineStr">
        <is>
          <t>Gastroenterology</t>
        </is>
      </c>
      <c r="B43" s="25" t="inlineStr">
        <is>
          <t>MRCP Review</t>
        </is>
      </c>
      <c r="C43" s="25" t="inlineStr">
        <is>
          <t>Yes</t>
        </is>
      </c>
      <c r="D43" s="25" t="inlineStr">
        <is>
          <t>T3 - Complex / procedure / management</t>
        </is>
      </c>
      <c r="E43" s="26" t="n">
        <v>9545</v>
      </c>
      <c r="F43" s="26">
        <f>E43*0.2</f>
        <v/>
      </c>
      <c r="G43" s="27" t="n">
        <v>3500</v>
      </c>
      <c r="H43" s="26">
        <f>ROUND(G43*0.2,0)</f>
        <v/>
      </c>
      <c r="I43" s="26">
        <f>G43-H43</f>
        <v/>
      </c>
      <c r="J43" s="28">
        <f>IF(ISNUMBER(E43),G43/E43-1,"new")</f>
        <v/>
      </c>
      <c r="K43" s="26">
        <f>ROUND(G43*1.3,0)</f>
        <v/>
      </c>
      <c r="L43" s="26">
        <f>ROUND(G43*1.6,0)</f>
        <v/>
      </c>
    </row>
    <row r="44" ht="15" customHeight="1" s="12">
      <c r="A44" s="21" t="inlineStr">
        <is>
          <t>Hematology</t>
        </is>
      </c>
      <c r="B44" s="21" t="inlineStr">
        <is>
          <t>Anemia Workup Review</t>
        </is>
      </c>
      <c r="C44" s="21" t="inlineStr">
        <is>
          <t>Yes</t>
        </is>
      </c>
      <c r="D44" s="21" t="inlineStr">
        <is>
          <t>T3 - Complex / procedure / management</t>
        </is>
      </c>
      <c r="E44" s="22" t="n">
        <v>3680</v>
      </c>
      <c r="F44" s="22">
        <f>E44*0.2</f>
        <v/>
      </c>
      <c r="G44" s="23" t="n">
        <v>3500</v>
      </c>
      <c r="H44" s="22">
        <f>ROUND(G44*0.2,0)</f>
        <v/>
      </c>
      <c r="I44" s="22">
        <f>G44-H44</f>
        <v/>
      </c>
      <c r="J44" s="24">
        <f>IF(ISNUMBER(E44),G44/E44-1,"new")</f>
        <v/>
      </c>
      <c r="K44" s="22">
        <f>ROUND(G44*1.3,0)</f>
        <v/>
      </c>
      <c r="L44" s="22">
        <f>ROUND(G44*1.6,0)</f>
        <v/>
      </c>
    </row>
    <row r="45" ht="15" customHeight="1" s="12">
      <c r="A45" s="25" t="inlineStr">
        <is>
          <t>Hematology</t>
        </is>
      </c>
      <c r="B45" s="25" t="inlineStr">
        <is>
          <t>Bone Marrow Biopsy Review</t>
        </is>
      </c>
      <c r="C45" s="25" t="inlineStr">
        <is>
          <t>Yes</t>
        </is>
      </c>
      <c r="D45" s="25" t="inlineStr">
        <is>
          <t>T5 - Pre-op / oncology-grade</t>
        </is>
      </c>
      <c r="E45" s="26" t="n">
        <v>14950</v>
      </c>
      <c r="F45" s="26">
        <f>E45*0.2</f>
        <v/>
      </c>
      <c r="G45" s="27" t="n">
        <v>5500</v>
      </c>
      <c r="H45" s="26">
        <f>ROUND(G45*0.2,0)</f>
        <v/>
      </c>
      <c r="I45" s="26">
        <f>G45-H45</f>
        <v/>
      </c>
      <c r="J45" s="28">
        <f>IF(ISNUMBER(E45),G45/E45-1,"new")</f>
        <v/>
      </c>
      <c r="K45" s="26">
        <f>ROUND(G45*1.3,0)</f>
        <v/>
      </c>
      <c r="L45" s="26">
        <f>ROUND(G45*1.6,0)</f>
        <v/>
      </c>
    </row>
    <row r="46" ht="15" customHeight="1" s="12">
      <c r="A46" s="21" t="inlineStr">
        <is>
          <t>Hematology</t>
        </is>
      </c>
      <c r="B46" s="21" t="inlineStr">
        <is>
          <t>Coagulation Panel Review</t>
        </is>
      </c>
      <c r="C46" s="21" t="inlineStr">
        <is>
          <t>Yes</t>
        </is>
      </c>
      <c r="D46" s="21" t="inlineStr">
        <is>
          <t>T2 - Imaging / advanced diagnostic</t>
        </is>
      </c>
      <c r="E46" s="22" t="n">
        <v>2990</v>
      </c>
      <c r="F46" s="22">
        <f>E46*0.2</f>
        <v/>
      </c>
      <c r="G46" s="23" t="n">
        <v>2400</v>
      </c>
      <c r="H46" s="22">
        <f>ROUND(G46*0.2,0)</f>
        <v/>
      </c>
      <c r="I46" s="22">
        <f>G46-H46</f>
        <v/>
      </c>
      <c r="J46" s="24">
        <f>IF(ISNUMBER(E46),G46/E46-1,"new")</f>
        <v/>
      </c>
      <c r="K46" s="22">
        <f>ROUND(G46*1.3,0)</f>
        <v/>
      </c>
      <c r="L46" s="22">
        <f>ROUND(G46*1.6,0)</f>
        <v/>
      </c>
    </row>
    <row r="47" ht="15" customHeight="1" s="12">
      <c r="A47" s="25" t="inlineStr">
        <is>
          <t>Hematology</t>
        </is>
      </c>
      <c r="B47" s="25" t="inlineStr">
        <is>
          <t>Flow Cytometry Review</t>
        </is>
      </c>
      <c r="C47" s="25" t="inlineStr">
        <is>
          <t>Yes</t>
        </is>
      </c>
      <c r="D47" s="25" t="inlineStr">
        <is>
          <t>T5 - Pre-op / oncology-grade</t>
        </is>
      </c>
      <c r="E47" s="26" t="n">
        <v>13455</v>
      </c>
      <c r="F47" s="26">
        <f>E47*0.2</f>
        <v/>
      </c>
      <c r="G47" s="27" t="n">
        <v>5500</v>
      </c>
      <c r="H47" s="26">
        <f>ROUND(G47*0.2,0)</f>
        <v/>
      </c>
      <c r="I47" s="26">
        <f>G47-H47</f>
        <v/>
      </c>
      <c r="J47" s="28">
        <f>IF(ISNUMBER(E47),G47/E47-1,"new")</f>
        <v/>
      </c>
      <c r="K47" s="26">
        <f>ROUND(G47*1.3,0)</f>
        <v/>
      </c>
      <c r="L47" s="26">
        <f>ROUND(G47*1.6,0)</f>
        <v/>
      </c>
    </row>
    <row r="48" ht="15" customHeight="1" s="12">
      <c r="A48" s="21" t="inlineStr">
        <is>
          <t>Hematology</t>
        </is>
      </c>
      <c r="B48" s="21" t="inlineStr">
        <is>
          <t>Full CBC with Differential Review</t>
        </is>
      </c>
      <c r="C48" s="21" t="inlineStr">
        <is>
          <t>Yes</t>
        </is>
      </c>
      <c r="D48" s="21" t="inlineStr">
        <is>
          <t>T1 - Basic test / report</t>
        </is>
      </c>
      <c r="E48" s="22" t="n">
        <v>1725</v>
      </c>
      <c r="F48" s="22">
        <f>E48*0.2</f>
        <v/>
      </c>
      <c r="G48" s="23" t="n">
        <v>1600</v>
      </c>
      <c r="H48" s="22">
        <f>ROUND(G48*0.2,0)</f>
        <v/>
      </c>
      <c r="I48" s="22">
        <f>G48-H48</f>
        <v/>
      </c>
      <c r="J48" s="24">
        <f>IF(ISNUMBER(E48),G48/E48-1,"new")</f>
        <v/>
      </c>
      <c r="K48" s="22">
        <f>ROUND(G48*1.3,0)</f>
        <v/>
      </c>
      <c r="L48" s="22">
        <f>ROUND(G48*1.6,0)</f>
        <v/>
      </c>
    </row>
    <row r="49" ht="15" customHeight="1" s="12">
      <c r="A49" s="25" t="inlineStr">
        <is>
          <t>Hematology</t>
        </is>
      </c>
      <c r="B49" s="25" t="inlineStr">
        <is>
          <t>Immunoglobulins/SPEP Review</t>
        </is>
      </c>
      <c r="C49" s="25" t="inlineStr">
        <is>
          <t>Yes</t>
        </is>
      </c>
      <c r="D49" s="25" t="inlineStr">
        <is>
          <t>T3 - Complex / procedure / management</t>
        </is>
      </c>
      <c r="E49" s="26" t="n">
        <v>7475</v>
      </c>
      <c r="F49" s="26">
        <f>E49*0.2</f>
        <v/>
      </c>
      <c r="G49" s="27" t="n">
        <v>3500</v>
      </c>
      <c r="H49" s="26">
        <f>ROUND(G49*0.2,0)</f>
        <v/>
      </c>
      <c r="I49" s="26">
        <f>G49-H49</f>
        <v/>
      </c>
      <c r="J49" s="28">
        <f>IF(ISNUMBER(E49),G49/E49-1,"new")</f>
        <v/>
      </c>
      <c r="K49" s="26">
        <f>ROUND(G49*1.3,0)</f>
        <v/>
      </c>
      <c r="L49" s="26">
        <f>ROUND(G49*1.6,0)</f>
        <v/>
      </c>
    </row>
    <row r="50" ht="15" customHeight="1" s="12">
      <c r="A50" s="21" t="inlineStr">
        <is>
          <t>Hematology</t>
        </is>
      </c>
      <c r="B50" s="21" t="inlineStr">
        <is>
          <t>Lymphoma Staging Review</t>
        </is>
      </c>
      <c r="C50" s="21" t="inlineStr">
        <is>
          <t>Yes</t>
        </is>
      </c>
      <c r="D50" s="21" t="inlineStr">
        <is>
          <t>T5 - Pre-op / oncology-grade</t>
        </is>
      </c>
      <c r="E50" s="22" t="n">
        <v>13455</v>
      </c>
      <c r="F50" s="22">
        <f>E50*0.2</f>
        <v/>
      </c>
      <c r="G50" s="23" t="n">
        <v>5500</v>
      </c>
      <c r="H50" s="22">
        <f>ROUND(G50*0.2,0)</f>
        <v/>
      </c>
      <c r="I50" s="22">
        <f>G50-H50</f>
        <v/>
      </c>
      <c r="J50" s="24">
        <f>IF(ISNUMBER(E50),G50/E50-1,"new")</f>
        <v/>
      </c>
      <c r="K50" s="22">
        <f>ROUND(G50*1.3,0)</f>
        <v/>
      </c>
      <c r="L50" s="22">
        <f>ROUND(G50*1.6,0)</f>
        <v/>
      </c>
    </row>
    <row r="51" ht="15" customHeight="1" s="12">
      <c r="A51" s="25" t="inlineStr">
        <is>
          <t>Hematology</t>
        </is>
      </c>
      <c r="B51" s="25" t="inlineStr">
        <is>
          <t>Sickle Cell/Thalassemia Review</t>
        </is>
      </c>
      <c r="C51" s="25" t="inlineStr">
        <is>
          <t>Yes</t>
        </is>
      </c>
      <c r="D51" s="25" t="inlineStr">
        <is>
          <t>T2 - Imaging / advanced diagnostic</t>
        </is>
      </c>
      <c r="E51" s="26" t="n">
        <v>3680</v>
      </c>
      <c r="F51" s="26">
        <f>E51*0.2</f>
        <v/>
      </c>
      <c r="G51" s="27" t="n">
        <v>2400</v>
      </c>
      <c r="H51" s="26">
        <f>ROUND(G51*0.2,0)</f>
        <v/>
      </c>
      <c r="I51" s="26">
        <f>G51-H51</f>
        <v/>
      </c>
      <c r="J51" s="28">
        <f>IF(ISNUMBER(E51),G51/E51-1,"new")</f>
        <v/>
      </c>
      <c r="K51" s="26">
        <f>ROUND(G51*1.3,0)</f>
        <v/>
      </c>
      <c r="L51" s="26">
        <f>ROUND(G51*1.6,0)</f>
        <v/>
      </c>
    </row>
    <row r="52" ht="15" customHeight="1" s="12">
      <c r="A52" s="21" t="inlineStr">
        <is>
          <t>Hematology</t>
        </is>
      </c>
      <c r="B52" s="21" t="inlineStr">
        <is>
          <t>Thrombophilia Panel Review</t>
        </is>
      </c>
      <c r="C52" s="21" t="inlineStr">
        <is>
          <t>Yes</t>
        </is>
      </c>
      <c r="D52" s="21" t="inlineStr">
        <is>
          <t>T3 - Complex / procedure / management</t>
        </is>
      </c>
      <c r="E52" s="22" t="n">
        <v>7475</v>
      </c>
      <c r="F52" s="22">
        <f>E52*0.2</f>
        <v/>
      </c>
      <c r="G52" s="23" t="n">
        <v>3500</v>
      </c>
      <c r="H52" s="22">
        <f>ROUND(G52*0.2,0)</f>
        <v/>
      </c>
      <c r="I52" s="22">
        <f>G52-H52</f>
        <v/>
      </c>
      <c r="J52" s="24">
        <f>IF(ISNUMBER(E52),G52/E52-1,"new")</f>
        <v/>
      </c>
      <c r="K52" s="22">
        <f>ROUND(G52*1.3,0)</f>
        <v/>
      </c>
      <c r="L52" s="22">
        <f>ROUND(G52*1.6,0)</f>
        <v/>
      </c>
    </row>
    <row r="53" ht="15" customHeight="1" s="12">
      <c r="A53" s="25" t="inlineStr">
        <is>
          <t>Lab &amp; Pathology</t>
        </is>
      </c>
      <c r="B53" s="25" t="inlineStr">
        <is>
          <t>Autoimmune - ANCA</t>
        </is>
      </c>
      <c r="C53" s="25" t="inlineStr">
        <is>
          <t>Yes</t>
        </is>
      </c>
      <c r="D53" s="25" t="inlineStr">
        <is>
          <t>T1 - Basic test / report</t>
        </is>
      </c>
      <c r="E53" s="26" t="n">
        <v>2530</v>
      </c>
      <c r="F53" s="26">
        <f>E53*0.2</f>
        <v/>
      </c>
      <c r="G53" s="27" t="n">
        <v>1600</v>
      </c>
      <c r="H53" s="26">
        <f>ROUND(G53*0.2,0)</f>
        <v/>
      </c>
      <c r="I53" s="26">
        <f>G53-H53</f>
        <v/>
      </c>
      <c r="J53" s="28">
        <f>IF(ISNUMBER(E53),G53/E53-1,"new")</f>
        <v/>
      </c>
      <c r="K53" s="26">
        <f>ROUND(G53*1.3,0)</f>
        <v/>
      </c>
      <c r="L53" s="26">
        <f>ROUND(G53*1.6,0)</f>
        <v/>
      </c>
    </row>
    <row r="54" ht="15" customHeight="1" s="12">
      <c r="A54" s="21" t="inlineStr">
        <is>
          <t>Lab &amp; Pathology</t>
        </is>
      </c>
      <c r="B54" s="21" t="inlineStr">
        <is>
          <t>Autoimmune - Anti-DNA</t>
        </is>
      </c>
      <c r="C54" s="21" t="inlineStr">
        <is>
          <t>Yes</t>
        </is>
      </c>
      <c r="D54" s="21" t="inlineStr">
        <is>
          <t>T1 - Basic test / report</t>
        </is>
      </c>
      <c r="E54" s="22" t="n">
        <v>1495</v>
      </c>
      <c r="F54" s="22">
        <f>E54*0.2</f>
        <v/>
      </c>
      <c r="G54" s="23" t="n">
        <v>1600</v>
      </c>
      <c r="H54" s="22">
        <f>ROUND(G54*0.2,0)</f>
        <v/>
      </c>
      <c r="I54" s="22">
        <f>G54-H54</f>
        <v/>
      </c>
      <c r="J54" s="24">
        <f>IF(ISNUMBER(E54),G54/E54-1,"new")</f>
        <v/>
      </c>
      <c r="K54" s="22">
        <f>ROUND(G54*1.3,0)</f>
        <v/>
      </c>
      <c r="L54" s="22">
        <f>ROUND(G54*1.6,0)</f>
        <v/>
      </c>
    </row>
    <row r="55" ht="15" customHeight="1" s="12">
      <c r="A55" s="25" t="inlineStr">
        <is>
          <t>Lab &amp; Pathology</t>
        </is>
      </c>
      <c r="B55" s="25" t="inlineStr">
        <is>
          <t>Autoimmune - ASMA</t>
        </is>
      </c>
      <c r="C55" s="25" t="inlineStr">
        <is>
          <t>Yes</t>
        </is>
      </c>
      <c r="D55" s="25" t="inlineStr">
        <is>
          <t>T1 - Basic test / report</t>
        </is>
      </c>
      <c r="E55" s="26" t="n">
        <v>1495</v>
      </c>
      <c r="F55" s="26">
        <f>E55*0.2</f>
        <v/>
      </c>
      <c r="G55" s="27" t="n">
        <v>1600</v>
      </c>
      <c r="H55" s="26">
        <f>ROUND(G55*0.2,0)</f>
        <v/>
      </c>
      <c r="I55" s="26">
        <f>G55-H55</f>
        <v/>
      </c>
      <c r="J55" s="28">
        <f>IF(ISNUMBER(E55),G55/E55-1,"new")</f>
        <v/>
      </c>
      <c r="K55" s="26">
        <f>ROUND(G55*1.3,0)</f>
        <v/>
      </c>
      <c r="L55" s="26">
        <f>ROUND(G55*1.6,0)</f>
        <v/>
      </c>
    </row>
    <row r="56" ht="15" customHeight="1" s="12">
      <c r="A56" s="21" t="inlineStr">
        <is>
          <t>Lab &amp; Pathology</t>
        </is>
      </c>
      <c r="B56" s="21" t="inlineStr">
        <is>
          <t>Autoimmune Panel Review</t>
        </is>
      </c>
      <c r="C56" s="21" t="inlineStr">
        <is>
          <t>Yes</t>
        </is>
      </c>
      <c r="D56" s="21" t="inlineStr">
        <is>
          <t>T2 - Imaging / advanced diagnostic</t>
        </is>
      </c>
      <c r="E56" s="22" t="n">
        <v>1750</v>
      </c>
      <c r="F56" s="22">
        <f>E56*0.2</f>
        <v/>
      </c>
      <c r="G56" s="23" t="n">
        <v>2400</v>
      </c>
      <c r="H56" s="22">
        <f>ROUND(G56*0.2,0)</f>
        <v/>
      </c>
      <c r="I56" s="22">
        <f>G56-H56</f>
        <v/>
      </c>
      <c r="J56" s="24">
        <f>IF(ISNUMBER(E56),G56/E56-1,"new")</f>
        <v/>
      </c>
      <c r="K56" s="22">
        <f>ROUND(G56*1.3,0)</f>
        <v/>
      </c>
      <c r="L56" s="22">
        <f>ROUND(G56*1.6,0)</f>
        <v/>
      </c>
    </row>
    <row r="57" ht="15" customHeight="1" s="12">
      <c r="A57" s="25" t="inlineStr">
        <is>
          <t>Lab &amp; Pathology</t>
        </is>
      </c>
      <c r="B57" s="25" t="inlineStr">
        <is>
          <t>Body Fluids Analysis</t>
        </is>
      </c>
      <c r="C57" s="25" t="inlineStr">
        <is>
          <t>Hidden</t>
        </is>
      </c>
      <c r="D57" s="25" t="inlineStr">
        <is>
          <t>T2 - Imaging / advanced diagnostic</t>
        </is>
      </c>
      <c r="E57" s="26" t="inlineStr">
        <is>
          <t>—</t>
        </is>
      </c>
      <c r="F57" s="26" t="inlineStr">
        <is>
          <t>—</t>
        </is>
      </c>
      <c r="G57" s="27" t="n">
        <v>2400</v>
      </c>
      <c r="H57" s="26">
        <f>ROUND(G57*0.2,0)</f>
        <v/>
      </c>
      <c r="I57" s="26">
        <f>G57-H57</f>
        <v/>
      </c>
      <c r="J57" s="28">
        <f>IF(ISNUMBER(E57),G57/E57-1,"new")</f>
        <v/>
      </c>
      <c r="K57" s="26">
        <f>ROUND(G57*1.3,0)</f>
        <v/>
      </c>
      <c r="L57" s="26">
        <f>ROUND(G57*1.6,0)</f>
        <v/>
      </c>
    </row>
    <row r="58" ht="15" customHeight="1" s="12">
      <c r="A58" s="21" t="inlineStr">
        <is>
          <t>Lab &amp; Pathology</t>
        </is>
      </c>
      <c r="B58" s="21" t="inlineStr">
        <is>
          <t>Bone Marrow Aspirate Review</t>
        </is>
      </c>
      <c r="C58" s="21" t="inlineStr">
        <is>
          <t>Yes</t>
        </is>
      </c>
      <c r="D58" s="21" t="inlineStr">
        <is>
          <t>T5 - Pre-op / oncology-grade</t>
        </is>
      </c>
      <c r="E58" s="22" t="n">
        <v>11500</v>
      </c>
      <c r="F58" s="22">
        <f>E58*0.2</f>
        <v/>
      </c>
      <c r="G58" s="23" t="n">
        <v>5500</v>
      </c>
      <c r="H58" s="22">
        <f>ROUND(G58*0.2,0)</f>
        <v/>
      </c>
      <c r="I58" s="22">
        <f>G58-H58</f>
        <v/>
      </c>
      <c r="J58" s="24">
        <f>IF(ISNUMBER(E58),G58/E58-1,"new")</f>
        <v/>
      </c>
      <c r="K58" s="22">
        <f>ROUND(G58*1.3,0)</f>
        <v/>
      </c>
      <c r="L58" s="22">
        <f>ROUND(G58*1.6,0)</f>
        <v/>
      </c>
    </row>
    <row r="59" ht="15" customHeight="1" s="12">
      <c r="A59" s="25" t="inlineStr">
        <is>
          <t>Lab &amp; Pathology</t>
        </is>
      </c>
      <c r="B59" s="25" t="inlineStr">
        <is>
          <t>Coagulation &amp; Electrolytes Review</t>
        </is>
      </c>
      <c r="C59" s="25" t="inlineStr">
        <is>
          <t>Yes</t>
        </is>
      </c>
      <c r="D59" s="25" t="inlineStr">
        <is>
          <t>T1 - Basic test / report</t>
        </is>
      </c>
      <c r="E59" s="26" t="n">
        <v>1250</v>
      </c>
      <c r="F59" s="26">
        <f>E59*0.2</f>
        <v/>
      </c>
      <c r="G59" s="27" t="n">
        <v>1600</v>
      </c>
      <c r="H59" s="26">
        <f>ROUND(G59*0.2,0)</f>
        <v/>
      </c>
      <c r="I59" s="26">
        <f>G59-H59</f>
        <v/>
      </c>
      <c r="J59" s="28">
        <f>IF(ISNUMBER(E59),G59/E59-1,"new")</f>
        <v/>
      </c>
      <c r="K59" s="26">
        <f>ROUND(G59*1.3,0)</f>
        <v/>
      </c>
      <c r="L59" s="26">
        <f>ROUND(G59*1.6,0)</f>
        <v/>
      </c>
    </row>
    <row r="60" ht="15" customHeight="1" s="12">
      <c r="A60" s="21" t="inlineStr">
        <is>
          <t>Lab &amp; Pathology</t>
        </is>
      </c>
      <c r="B60" s="21" t="inlineStr">
        <is>
          <t>Cytology</t>
        </is>
      </c>
      <c r="C60" s="21" t="inlineStr">
        <is>
          <t>Yes</t>
        </is>
      </c>
      <c r="D60" s="21" t="inlineStr">
        <is>
          <t>T1 - Basic test / report</t>
        </is>
      </c>
      <c r="E60" s="22" t="n">
        <v>1250</v>
      </c>
      <c r="F60" s="22">
        <f>E60*0.2</f>
        <v/>
      </c>
      <c r="G60" s="23" t="n">
        <v>1600</v>
      </c>
      <c r="H60" s="22">
        <f>ROUND(G60*0.2,0)</f>
        <v/>
      </c>
      <c r="I60" s="22">
        <f>G60-H60</f>
        <v/>
      </c>
      <c r="J60" s="24">
        <f>IF(ISNUMBER(E60),G60/E60-1,"new")</f>
        <v/>
      </c>
      <c r="K60" s="22">
        <f>ROUND(G60*1.3,0)</f>
        <v/>
      </c>
      <c r="L60" s="22">
        <f>ROUND(G60*1.6,0)</f>
        <v/>
      </c>
    </row>
    <row r="61" ht="15" customHeight="1" s="12">
      <c r="A61" s="25" t="inlineStr">
        <is>
          <t>Lab &amp; Pathology</t>
        </is>
      </c>
      <c r="B61" s="25" t="inlineStr">
        <is>
          <t>Fine Needle Aspiration (FNA)</t>
        </is>
      </c>
      <c r="C61" s="25" t="inlineStr">
        <is>
          <t>Hidden</t>
        </is>
      </c>
      <c r="D61" s="25" t="inlineStr">
        <is>
          <t>T2 - Imaging / advanced diagnostic</t>
        </is>
      </c>
      <c r="E61" s="26" t="inlineStr">
        <is>
          <t>—</t>
        </is>
      </c>
      <c r="F61" s="26" t="inlineStr">
        <is>
          <t>—</t>
        </is>
      </c>
      <c r="G61" s="27" t="n">
        <v>2400</v>
      </c>
      <c r="H61" s="26">
        <f>ROUND(G61*0.2,0)</f>
        <v/>
      </c>
      <c r="I61" s="26">
        <f>G61-H61</f>
        <v/>
      </c>
      <c r="J61" s="28">
        <f>IF(ISNUMBER(E61),G61/E61-1,"new")</f>
        <v/>
      </c>
      <c r="K61" s="26">
        <f>ROUND(G61*1.3,0)</f>
        <v/>
      </c>
      <c r="L61" s="26">
        <f>ROUND(G61*1.6,0)</f>
        <v/>
      </c>
    </row>
    <row r="62" ht="15" customHeight="1" s="12">
      <c r="A62" s="21" t="inlineStr">
        <is>
          <t>Lab &amp; Pathology</t>
        </is>
      </c>
      <c r="B62" s="21" t="inlineStr">
        <is>
          <t>Genetic/Molecular Testing</t>
        </is>
      </c>
      <c r="C62" s="21" t="inlineStr">
        <is>
          <t>Hidden</t>
        </is>
      </c>
      <c r="D62" s="21" t="inlineStr">
        <is>
          <t>T2 - Imaging / advanced diagnostic</t>
        </is>
      </c>
      <c r="E62" s="22" t="inlineStr">
        <is>
          <t>—</t>
        </is>
      </c>
      <c r="F62" s="22" t="inlineStr">
        <is>
          <t>—</t>
        </is>
      </c>
      <c r="G62" s="23" t="n">
        <v>2400</v>
      </c>
      <c r="H62" s="22">
        <f>ROUND(G62*0.2,0)</f>
        <v/>
      </c>
      <c r="I62" s="22">
        <f>G62-H62</f>
        <v/>
      </c>
      <c r="J62" s="24">
        <f>IF(ISNUMBER(E62),G62/E62-1,"new")</f>
        <v/>
      </c>
      <c r="K62" s="22">
        <f>ROUND(G62*1.3,0)</f>
        <v/>
      </c>
      <c r="L62" s="22">
        <f>ROUND(G62*1.6,0)</f>
        <v/>
      </c>
    </row>
    <row r="63" ht="15" customHeight="1" s="12">
      <c r="A63" s="25" t="inlineStr">
        <is>
          <t>Lab &amp; Pathology</t>
        </is>
      </c>
      <c r="B63" s="25" t="inlineStr">
        <is>
          <t>Histopathology - Large Biopsy</t>
        </is>
      </c>
      <c r="C63" s="25" t="inlineStr">
        <is>
          <t>Yes</t>
        </is>
      </c>
      <c r="D63" s="25" t="inlineStr">
        <is>
          <t>T3 - Complex / procedure / management</t>
        </is>
      </c>
      <c r="E63" s="26" t="n">
        <v>2990</v>
      </c>
      <c r="F63" s="26">
        <f>E63*0.2</f>
        <v/>
      </c>
      <c r="G63" s="27" t="n">
        <v>3500</v>
      </c>
      <c r="H63" s="26">
        <f>ROUND(G63*0.2,0)</f>
        <v/>
      </c>
      <c r="I63" s="26">
        <f>G63-H63</f>
        <v/>
      </c>
      <c r="J63" s="28">
        <f>IF(ISNUMBER(E63),G63/E63-1,"new")</f>
        <v/>
      </c>
      <c r="K63" s="26">
        <f>ROUND(G63*1.3,0)</f>
        <v/>
      </c>
      <c r="L63" s="26">
        <f>ROUND(G63*1.6,0)</f>
        <v/>
      </c>
    </row>
    <row r="64" ht="15" customHeight="1" s="12">
      <c r="A64" s="21" t="inlineStr">
        <is>
          <t>Lab &amp; Pathology</t>
        </is>
      </c>
      <c r="B64" s="21" t="inlineStr">
        <is>
          <t>Histopathology - Organ/Resection</t>
        </is>
      </c>
      <c r="C64" s="21" t="inlineStr">
        <is>
          <t>Yes</t>
        </is>
      </c>
      <c r="D64" s="21" t="inlineStr">
        <is>
          <t>T3 - Complex / procedure / management</t>
        </is>
      </c>
      <c r="E64" s="22" t="n">
        <v>4255</v>
      </c>
      <c r="F64" s="22">
        <f>E64*0.2</f>
        <v/>
      </c>
      <c r="G64" s="23" t="n">
        <v>3500</v>
      </c>
      <c r="H64" s="22">
        <f>ROUND(G64*0.2,0)</f>
        <v/>
      </c>
      <c r="I64" s="22">
        <f>G64-H64</f>
        <v/>
      </c>
      <c r="J64" s="24">
        <f>IF(ISNUMBER(E64),G64/E64-1,"new")</f>
        <v/>
      </c>
      <c r="K64" s="22">
        <f>ROUND(G64*1.3,0)</f>
        <v/>
      </c>
      <c r="L64" s="22">
        <f>ROUND(G64*1.6,0)</f>
        <v/>
      </c>
    </row>
    <row r="65" ht="15" customHeight="1" s="12">
      <c r="A65" s="25" t="inlineStr">
        <is>
          <t>Lab &amp; Pathology</t>
        </is>
      </c>
      <c r="B65" s="25" t="inlineStr">
        <is>
          <t>Histopathology - Small Biopsy</t>
        </is>
      </c>
      <c r="C65" s="25" t="inlineStr">
        <is>
          <t>Yes</t>
        </is>
      </c>
      <c r="D65" s="25" t="inlineStr">
        <is>
          <t>T1 - Basic test / report</t>
        </is>
      </c>
      <c r="E65" s="26" t="n">
        <v>1668</v>
      </c>
      <c r="F65" s="26">
        <f>E65*0.2</f>
        <v/>
      </c>
      <c r="G65" s="27" t="n">
        <v>1600</v>
      </c>
      <c r="H65" s="26">
        <f>ROUND(G65*0.2,0)</f>
        <v/>
      </c>
      <c r="I65" s="26">
        <f>G65-H65</f>
        <v/>
      </c>
      <c r="J65" s="28">
        <f>IF(ISNUMBER(E65),G65/E65-1,"new")</f>
        <v/>
      </c>
      <c r="K65" s="26">
        <f>ROUND(G65*1.3,0)</f>
        <v/>
      </c>
      <c r="L65" s="26">
        <f>ROUND(G65*1.6,0)</f>
        <v/>
      </c>
    </row>
    <row r="66" ht="15" customHeight="1" s="12">
      <c r="A66" s="21" t="inlineStr">
        <is>
          <t>Lab &amp; Pathology</t>
        </is>
      </c>
      <c r="B66" s="21" t="inlineStr">
        <is>
          <t>Hormone Panel Review</t>
        </is>
      </c>
      <c r="C66" s="21" t="inlineStr">
        <is>
          <t>Yes</t>
        </is>
      </c>
      <c r="D66" s="21" t="inlineStr">
        <is>
          <t>T2 - Imaging / advanced diagnostic</t>
        </is>
      </c>
      <c r="E66" s="22" t="n">
        <v>1750</v>
      </c>
      <c r="F66" s="22">
        <f>E66*0.2</f>
        <v/>
      </c>
      <c r="G66" s="23" t="n">
        <v>2400</v>
      </c>
      <c r="H66" s="22">
        <f>ROUND(G66*0.2,0)</f>
        <v/>
      </c>
      <c r="I66" s="22">
        <f>G66-H66</f>
        <v/>
      </c>
      <c r="J66" s="24">
        <f>IF(ISNUMBER(E66),G66/E66-1,"new")</f>
        <v/>
      </c>
      <c r="K66" s="22">
        <f>ROUND(G66*1.3,0)</f>
        <v/>
      </c>
      <c r="L66" s="22">
        <f>ROUND(G66*1.6,0)</f>
        <v/>
      </c>
    </row>
    <row r="67" ht="15" customHeight="1" s="12">
      <c r="A67" s="25" t="inlineStr">
        <is>
          <t>Lab &amp; Pathology</t>
        </is>
      </c>
      <c r="B67" s="25" t="inlineStr">
        <is>
          <t>Microbiology - Sputum C&amp;S</t>
        </is>
      </c>
      <c r="C67" s="25" t="inlineStr">
        <is>
          <t>Yes</t>
        </is>
      </c>
      <c r="D67" s="25" t="inlineStr">
        <is>
          <t>T2 - Imaging / advanced diagnostic</t>
        </is>
      </c>
      <c r="E67" s="26" t="n">
        <v>6900</v>
      </c>
      <c r="F67" s="26">
        <f>E67*0.2</f>
        <v/>
      </c>
      <c r="G67" s="27" t="n">
        <v>2400</v>
      </c>
      <c r="H67" s="26">
        <f>ROUND(G67*0.2,0)</f>
        <v/>
      </c>
      <c r="I67" s="26">
        <f>G67-H67</f>
        <v/>
      </c>
      <c r="J67" s="28">
        <f>IF(ISNUMBER(E67),G67/E67-1,"new")</f>
        <v/>
      </c>
      <c r="K67" s="26">
        <f>ROUND(G67*1.3,0)</f>
        <v/>
      </c>
      <c r="L67" s="26">
        <f>ROUND(G67*1.6,0)</f>
        <v/>
      </c>
    </row>
    <row r="68" ht="15" customHeight="1" s="12">
      <c r="A68" s="21" t="inlineStr">
        <is>
          <t>Lab &amp; Pathology</t>
        </is>
      </c>
      <c r="B68" s="21" t="inlineStr">
        <is>
          <t>Microbiology Cultures Review</t>
        </is>
      </c>
      <c r="C68" s="21" t="inlineStr">
        <is>
          <t>Yes</t>
        </is>
      </c>
      <c r="D68" s="21" t="inlineStr">
        <is>
          <t>T2 - Imaging / advanced diagnostic</t>
        </is>
      </c>
      <c r="E68" s="22" t="n">
        <v>1500</v>
      </c>
      <c r="F68" s="22">
        <f>E68*0.2</f>
        <v/>
      </c>
      <c r="G68" s="23" t="n">
        <v>2400</v>
      </c>
      <c r="H68" s="22">
        <f>ROUND(G68*0.2,0)</f>
        <v/>
      </c>
      <c r="I68" s="22">
        <f>G68-H68</f>
        <v/>
      </c>
      <c r="J68" s="24">
        <f>IF(ISNUMBER(E68),G68/E68-1,"new")</f>
        <v/>
      </c>
      <c r="K68" s="22">
        <f>ROUND(G68*1.3,0)</f>
        <v/>
      </c>
      <c r="L68" s="22">
        <f>ROUND(G68*1.6,0)</f>
        <v/>
      </c>
    </row>
    <row r="69" ht="15" customHeight="1" s="12">
      <c r="A69" s="25" t="inlineStr">
        <is>
          <t>Lab &amp; Pathology</t>
        </is>
      </c>
      <c r="B69" s="25" t="inlineStr">
        <is>
          <t>Pap Smear</t>
        </is>
      </c>
      <c r="C69" s="25" t="inlineStr">
        <is>
          <t>Hidden</t>
        </is>
      </c>
      <c r="D69" s="25" t="inlineStr">
        <is>
          <t>T1 - Basic test / report</t>
        </is>
      </c>
      <c r="E69" s="26" t="inlineStr">
        <is>
          <t>—</t>
        </is>
      </c>
      <c r="F69" s="26" t="inlineStr">
        <is>
          <t>—</t>
        </is>
      </c>
      <c r="G69" s="27" t="n">
        <v>1600</v>
      </c>
      <c r="H69" s="26">
        <f>ROUND(G69*0.2,0)</f>
        <v/>
      </c>
      <c r="I69" s="26">
        <f>G69-H69</f>
        <v/>
      </c>
      <c r="J69" s="28">
        <f>IF(ISNUMBER(E69),G69/E69-1,"new")</f>
        <v/>
      </c>
      <c r="K69" s="26">
        <f>ROUND(G69*1.3,0)</f>
        <v/>
      </c>
      <c r="L69" s="26">
        <f>ROUND(G69*1.6,0)</f>
        <v/>
      </c>
    </row>
    <row r="70" ht="15" customHeight="1" s="12">
      <c r="A70" s="21" t="inlineStr">
        <is>
          <t>Lab &amp; Pathology</t>
        </is>
      </c>
      <c r="B70" s="21" t="inlineStr">
        <is>
          <t>Routine Bloods Panel Review</t>
        </is>
      </c>
      <c r="C70" s="21" t="inlineStr">
        <is>
          <t>Yes</t>
        </is>
      </c>
      <c r="D70" s="21" t="inlineStr">
        <is>
          <t>T1 - Basic test / report</t>
        </is>
      </c>
      <c r="E70" s="22" t="n">
        <v>1500</v>
      </c>
      <c r="F70" s="22">
        <f>E70*0.2</f>
        <v/>
      </c>
      <c r="G70" s="23" t="n">
        <v>1600</v>
      </c>
      <c r="H70" s="22">
        <f>ROUND(G70*0.2,0)</f>
        <v/>
      </c>
      <c r="I70" s="22">
        <f>G70-H70</f>
        <v/>
      </c>
      <c r="J70" s="24">
        <f>IF(ISNUMBER(E70),G70/E70-1,"new")</f>
        <v/>
      </c>
      <c r="K70" s="22">
        <f>ROUND(G70*1.3,0)</f>
        <v/>
      </c>
      <c r="L70" s="22">
        <f>ROUND(G70*1.6,0)</f>
        <v/>
      </c>
    </row>
    <row r="71" ht="15" customHeight="1" s="12">
      <c r="A71" s="25" t="inlineStr">
        <is>
          <t>Lab &amp; Pathology</t>
        </is>
      </c>
      <c r="B71" s="25" t="inlineStr">
        <is>
          <t>Sensitivity Testing</t>
        </is>
      </c>
      <c r="C71" s="25" t="inlineStr">
        <is>
          <t>Hidden</t>
        </is>
      </c>
      <c r="D71" s="25" t="inlineStr">
        <is>
          <t>T2 - Imaging / advanced diagnostic</t>
        </is>
      </c>
      <c r="E71" s="26" t="inlineStr">
        <is>
          <t>—</t>
        </is>
      </c>
      <c r="F71" s="26" t="inlineStr">
        <is>
          <t>—</t>
        </is>
      </c>
      <c r="G71" s="27" t="n">
        <v>2400</v>
      </c>
      <c r="H71" s="26">
        <f>ROUND(G71*0.2,0)</f>
        <v/>
      </c>
      <c r="I71" s="26">
        <f>G71-H71</f>
        <v/>
      </c>
      <c r="J71" s="28">
        <f>IF(ISNUMBER(E71),G71/E71-1,"new")</f>
        <v/>
      </c>
      <c r="K71" s="26">
        <f>ROUND(G71*1.3,0)</f>
        <v/>
      </c>
      <c r="L71" s="26">
        <f>ROUND(G71*1.6,0)</f>
        <v/>
      </c>
    </row>
    <row r="72" ht="15" customHeight="1" s="12">
      <c r="A72" s="21" t="inlineStr">
        <is>
          <t>Lab &amp; Pathology</t>
        </is>
      </c>
      <c r="B72" s="21" t="inlineStr">
        <is>
          <t>Tumor Markers Panel Review</t>
        </is>
      </c>
      <c r="C72" s="21" t="inlineStr">
        <is>
          <t>Yes</t>
        </is>
      </c>
      <c r="D72" s="21" t="inlineStr">
        <is>
          <t>T2 - Imaging / advanced diagnostic</t>
        </is>
      </c>
      <c r="E72" s="22" t="n">
        <v>1750</v>
      </c>
      <c r="F72" s="22">
        <f>E72*0.2</f>
        <v/>
      </c>
      <c r="G72" s="23" t="n">
        <v>2400</v>
      </c>
      <c r="H72" s="22">
        <f>ROUND(G72*0.2,0)</f>
        <v/>
      </c>
      <c r="I72" s="22">
        <f>G72-H72</f>
        <v/>
      </c>
      <c r="J72" s="24">
        <f>IF(ISNUMBER(E72),G72/E72-1,"new")</f>
        <v/>
      </c>
      <c r="K72" s="22">
        <f>ROUND(G72*1.3,0)</f>
        <v/>
      </c>
      <c r="L72" s="22">
        <f>ROUND(G72*1.6,0)</f>
        <v/>
      </c>
    </row>
    <row r="73" ht="15" customHeight="1" s="12">
      <c r="A73" s="25" t="inlineStr">
        <is>
          <t>Lab &amp; Pathology</t>
        </is>
      </c>
      <c r="B73" s="25" t="inlineStr">
        <is>
          <t>Urine &amp; Stool Workup Review</t>
        </is>
      </c>
      <c r="C73" s="25" t="inlineStr">
        <is>
          <t>Yes</t>
        </is>
      </c>
      <c r="D73" s="25" t="inlineStr">
        <is>
          <t>T1 - Basic test / report</t>
        </is>
      </c>
      <c r="E73" s="26" t="n">
        <v>1250</v>
      </c>
      <c r="F73" s="26">
        <f>E73*0.2</f>
        <v/>
      </c>
      <c r="G73" s="27" t="n">
        <v>1600</v>
      </c>
      <c r="H73" s="26">
        <f>ROUND(G73*0.2,0)</f>
        <v/>
      </c>
      <c r="I73" s="26">
        <f>G73-H73</f>
        <v/>
      </c>
      <c r="J73" s="28">
        <f>IF(ISNUMBER(E73),G73/E73-1,"new")</f>
        <v/>
      </c>
      <c r="K73" s="26">
        <f>ROUND(G73*1.3,0)</f>
        <v/>
      </c>
      <c r="L73" s="26">
        <f>ROUND(G73*1.6,0)</f>
        <v/>
      </c>
    </row>
    <row r="74" ht="15" customHeight="1" s="12">
      <c r="A74" s="21" t="inlineStr">
        <is>
          <t>Nephrology</t>
        </is>
      </c>
      <c r="B74" s="21" t="inlineStr">
        <is>
          <t>CKD Staging &amp; Management Review</t>
        </is>
      </c>
      <c r="C74" s="21" t="inlineStr">
        <is>
          <t>Yes</t>
        </is>
      </c>
      <c r="D74" s="21" t="inlineStr">
        <is>
          <t>T5 - Pre-op / oncology-grade</t>
        </is>
      </c>
      <c r="E74" s="22" t="n">
        <v>3680</v>
      </c>
      <c r="F74" s="22">
        <f>E74*0.2</f>
        <v/>
      </c>
      <c r="G74" s="23" t="n">
        <v>5500</v>
      </c>
      <c r="H74" s="22">
        <f>ROUND(G74*0.2,0)</f>
        <v/>
      </c>
      <c r="I74" s="22">
        <f>G74-H74</f>
        <v/>
      </c>
      <c r="J74" s="24">
        <f>IF(ISNUMBER(E74),G74/E74-1,"new")</f>
        <v/>
      </c>
      <c r="K74" s="22">
        <f>ROUND(G74*1.3,0)</f>
        <v/>
      </c>
      <c r="L74" s="22">
        <f>ROUND(G74*1.6,0)</f>
        <v/>
      </c>
    </row>
    <row r="75" ht="15" customHeight="1" s="12">
      <c r="A75" s="25" t="inlineStr">
        <is>
          <t>Nephrology</t>
        </is>
      </c>
      <c r="B75" s="25" t="inlineStr">
        <is>
          <t>Dialysis Adequacy Review</t>
        </is>
      </c>
      <c r="C75" s="25" t="inlineStr">
        <is>
          <t>Yes</t>
        </is>
      </c>
      <c r="D75" s="25" t="inlineStr">
        <is>
          <t>T3 - Complex / procedure / management</t>
        </is>
      </c>
      <c r="E75" s="26" t="n">
        <v>5980</v>
      </c>
      <c r="F75" s="26">
        <f>E75*0.2</f>
        <v/>
      </c>
      <c r="G75" s="27" t="n">
        <v>3500</v>
      </c>
      <c r="H75" s="26">
        <f>ROUND(G75*0.2,0)</f>
        <v/>
      </c>
      <c r="I75" s="26">
        <f>G75-H75</f>
        <v/>
      </c>
      <c r="J75" s="28">
        <f>IF(ISNUMBER(E75),G75/E75-1,"new")</f>
        <v/>
      </c>
      <c r="K75" s="26">
        <f>ROUND(G75*1.3,0)</f>
        <v/>
      </c>
      <c r="L75" s="26">
        <f>ROUND(G75*1.6,0)</f>
        <v/>
      </c>
    </row>
    <row r="76" ht="15" customHeight="1" s="12">
      <c r="A76" s="21" t="inlineStr">
        <is>
          <t>Nephrology</t>
        </is>
      </c>
      <c r="B76" s="21" t="inlineStr">
        <is>
          <t>Hypertension Workup Review</t>
        </is>
      </c>
      <c r="C76" s="21" t="inlineStr">
        <is>
          <t>Yes</t>
        </is>
      </c>
      <c r="D76" s="21" t="inlineStr">
        <is>
          <t>T3 - Complex / procedure / management</t>
        </is>
      </c>
      <c r="E76" s="22" t="n">
        <v>3680</v>
      </c>
      <c r="F76" s="22">
        <f>E76*0.2</f>
        <v/>
      </c>
      <c r="G76" s="23" t="n">
        <v>3500</v>
      </c>
      <c r="H76" s="22">
        <f>ROUND(G76*0.2,0)</f>
        <v/>
      </c>
      <c r="I76" s="22">
        <f>G76-H76</f>
        <v/>
      </c>
      <c r="J76" s="24">
        <f>IF(ISNUMBER(E76),G76/E76-1,"new")</f>
        <v/>
      </c>
      <c r="K76" s="22">
        <f>ROUND(G76*1.3,0)</f>
        <v/>
      </c>
      <c r="L76" s="22">
        <f>ROUND(G76*1.6,0)</f>
        <v/>
      </c>
    </row>
    <row r="77" ht="15" customHeight="1" s="12">
      <c r="A77" s="25" t="inlineStr">
        <is>
          <t>Nephrology</t>
        </is>
      </c>
      <c r="B77" s="25" t="inlineStr">
        <is>
          <t>Kidney Biopsy Report Review</t>
        </is>
      </c>
      <c r="C77" s="25" t="inlineStr">
        <is>
          <t>Yes</t>
        </is>
      </c>
      <c r="D77" s="25" t="inlineStr">
        <is>
          <t>T3 - Complex / procedure / management</t>
        </is>
      </c>
      <c r="E77" s="26" t="n">
        <v>10465</v>
      </c>
      <c r="F77" s="26">
        <f>E77*0.2</f>
        <v/>
      </c>
      <c r="G77" s="27" t="n">
        <v>3500</v>
      </c>
      <c r="H77" s="26">
        <f>ROUND(G77*0.2,0)</f>
        <v/>
      </c>
      <c r="I77" s="26">
        <f>G77-H77</f>
        <v/>
      </c>
      <c r="J77" s="28">
        <f>IF(ISNUMBER(E77),G77/E77-1,"new")</f>
        <v/>
      </c>
      <c r="K77" s="26">
        <f>ROUND(G77*1.3,0)</f>
        <v/>
      </c>
      <c r="L77" s="26">
        <f>ROUND(G77*1.6,0)</f>
        <v/>
      </c>
    </row>
    <row r="78" ht="15" customHeight="1" s="12">
      <c r="A78" s="21" t="inlineStr">
        <is>
          <t>Nephrology</t>
        </is>
      </c>
      <c r="B78" s="21" t="inlineStr">
        <is>
          <t>Kidney Function Panel Review</t>
        </is>
      </c>
      <c r="C78" s="21" t="inlineStr">
        <is>
          <t>Yes</t>
        </is>
      </c>
      <c r="D78" s="21" t="inlineStr">
        <is>
          <t>T2 - Imaging / advanced diagnostic</t>
        </is>
      </c>
      <c r="E78" s="22" t="n">
        <v>1725</v>
      </c>
      <c r="F78" s="22">
        <f>E78*0.2</f>
        <v/>
      </c>
      <c r="G78" s="23" t="n">
        <v>2400</v>
      </c>
      <c r="H78" s="22">
        <f>ROUND(G78*0.2,0)</f>
        <v/>
      </c>
      <c r="I78" s="22">
        <f>G78-H78</f>
        <v/>
      </c>
      <c r="J78" s="24">
        <f>IF(ISNUMBER(E78),G78/E78-1,"new")</f>
        <v/>
      </c>
      <c r="K78" s="22">
        <f>ROUND(G78*1.3,0)</f>
        <v/>
      </c>
      <c r="L78" s="22">
        <f>ROUND(G78*1.6,0)</f>
        <v/>
      </c>
    </row>
    <row r="79" ht="15" customHeight="1" s="12">
      <c r="A79" s="25" t="inlineStr">
        <is>
          <t>Nephrology</t>
        </is>
      </c>
      <c r="B79" s="25" t="inlineStr">
        <is>
          <t>Kidney Stone CT Review</t>
        </is>
      </c>
      <c r="C79" s="25" t="inlineStr">
        <is>
          <t>Yes</t>
        </is>
      </c>
      <c r="D79" s="25" t="inlineStr">
        <is>
          <t>T2 - Imaging / advanced diagnostic</t>
        </is>
      </c>
      <c r="E79" s="26" t="n">
        <v>4140</v>
      </c>
      <c r="F79" s="26">
        <f>E79*0.2</f>
        <v/>
      </c>
      <c r="G79" s="27" t="n">
        <v>2400</v>
      </c>
      <c r="H79" s="26">
        <f>ROUND(G79*0.2,0)</f>
        <v/>
      </c>
      <c r="I79" s="26">
        <f>G79-H79</f>
        <v/>
      </c>
      <c r="J79" s="28">
        <f>IF(ISNUMBER(E79),G79/E79-1,"new")</f>
        <v/>
      </c>
      <c r="K79" s="26">
        <f>ROUND(G79*1.3,0)</f>
        <v/>
      </c>
      <c r="L79" s="26">
        <f>ROUND(G79*1.6,0)</f>
        <v/>
      </c>
    </row>
    <row r="80" ht="15" customHeight="1" s="12">
      <c r="A80" s="21" t="inlineStr">
        <is>
          <t>Nephrology</t>
        </is>
      </c>
      <c r="B80" s="21" t="inlineStr">
        <is>
          <t>Kidney Ultrasound Review</t>
        </is>
      </c>
      <c r="C80" s="21" t="inlineStr">
        <is>
          <t>Yes</t>
        </is>
      </c>
      <c r="D80" s="21" t="inlineStr">
        <is>
          <t>T1 - Basic test / report</t>
        </is>
      </c>
      <c r="E80" s="22" t="n">
        <v>2185</v>
      </c>
      <c r="F80" s="22">
        <f>E80*0.2</f>
        <v/>
      </c>
      <c r="G80" s="23" t="n">
        <v>1600</v>
      </c>
      <c r="H80" s="22">
        <f>ROUND(G80*0.2,0)</f>
        <v/>
      </c>
      <c r="I80" s="22">
        <f>G80-H80</f>
        <v/>
      </c>
      <c r="J80" s="24">
        <f>IF(ISNUMBER(E80),G80/E80-1,"new")</f>
        <v/>
      </c>
      <c r="K80" s="22">
        <f>ROUND(G80*1.3,0)</f>
        <v/>
      </c>
      <c r="L80" s="22">
        <f>ROUND(G80*1.6,0)</f>
        <v/>
      </c>
    </row>
    <row r="81" ht="15" customHeight="1" s="12">
      <c r="A81" s="25" t="inlineStr">
        <is>
          <t>Nephrology</t>
        </is>
      </c>
      <c r="B81" s="25" t="inlineStr">
        <is>
          <t>Proteinuria Workup Review</t>
        </is>
      </c>
      <c r="C81" s="25" t="inlineStr">
        <is>
          <t>Yes</t>
        </is>
      </c>
      <c r="D81" s="25" t="inlineStr">
        <is>
          <t>T3 - Complex / procedure / management</t>
        </is>
      </c>
      <c r="E81" s="26" t="n">
        <v>3680</v>
      </c>
      <c r="F81" s="26">
        <f>E81*0.2</f>
        <v/>
      </c>
      <c r="G81" s="27" t="n">
        <v>3500</v>
      </c>
      <c r="H81" s="26">
        <f>ROUND(G81*0.2,0)</f>
        <v/>
      </c>
      <c r="I81" s="26">
        <f>G81-H81</f>
        <v/>
      </c>
      <c r="J81" s="28">
        <f>IF(ISNUMBER(E81),G81/E81-1,"new")</f>
        <v/>
      </c>
      <c r="K81" s="26">
        <f>ROUND(G81*1.3,0)</f>
        <v/>
      </c>
      <c r="L81" s="26">
        <f>ROUND(G81*1.6,0)</f>
        <v/>
      </c>
    </row>
    <row r="82" ht="15" customHeight="1" s="12">
      <c r="A82" s="21" t="inlineStr">
        <is>
          <t>Neurology</t>
        </is>
      </c>
      <c r="B82" s="21" t="inlineStr">
        <is>
          <t>Brain CT Review</t>
        </is>
      </c>
      <c r="C82" s="21" t="inlineStr">
        <is>
          <t>Yes</t>
        </is>
      </c>
      <c r="D82" s="21" t="inlineStr">
        <is>
          <t>T2 - Imaging / advanced diagnostic</t>
        </is>
      </c>
      <c r="E82" s="22" t="n">
        <v>1553</v>
      </c>
      <c r="F82" s="22">
        <f>E82*0.2</f>
        <v/>
      </c>
      <c r="G82" s="23" t="n">
        <v>2400</v>
      </c>
      <c r="H82" s="22">
        <f>ROUND(G82*0.2,0)</f>
        <v/>
      </c>
      <c r="I82" s="22">
        <f>G82-H82</f>
        <v/>
      </c>
      <c r="J82" s="24">
        <f>IF(ISNUMBER(E82),G82/E82-1,"new")</f>
        <v/>
      </c>
      <c r="K82" s="22">
        <f>ROUND(G82*1.3,0)</f>
        <v/>
      </c>
      <c r="L82" s="22">
        <f>ROUND(G82*1.6,0)</f>
        <v/>
      </c>
    </row>
    <row r="83" ht="15" customHeight="1" s="12">
      <c r="A83" s="25" t="inlineStr">
        <is>
          <t>Neurology</t>
        </is>
      </c>
      <c r="B83" s="25" t="inlineStr">
        <is>
          <t>Brain MRI Review</t>
        </is>
      </c>
      <c r="C83" s="25" t="inlineStr">
        <is>
          <t>Yes</t>
        </is>
      </c>
      <c r="D83" s="25" t="inlineStr">
        <is>
          <t>T2 - Imaging / advanced diagnostic</t>
        </is>
      </c>
      <c r="E83" s="26" t="n">
        <v>3680</v>
      </c>
      <c r="F83" s="26">
        <f>E83*0.2</f>
        <v/>
      </c>
      <c r="G83" s="27" t="n">
        <v>2400</v>
      </c>
      <c r="H83" s="26">
        <f>ROUND(G83*0.2,0)</f>
        <v/>
      </c>
      <c r="I83" s="26">
        <f>G83-H83</f>
        <v/>
      </c>
      <c r="J83" s="28">
        <f>IF(ISNUMBER(E83),G83/E83-1,"new")</f>
        <v/>
      </c>
      <c r="K83" s="26">
        <f>ROUND(G83*1.3,0)</f>
        <v/>
      </c>
      <c r="L83" s="26">
        <f>ROUND(G83*1.6,0)</f>
        <v/>
      </c>
    </row>
    <row r="84" ht="15" customHeight="1" s="12">
      <c r="A84" s="21" t="inlineStr">
        <is>
          <t>Neurology</t>
        </is>
      </c>
      <c r="B84" s="21" t="inlineStr">
        <is>
          <t>EEG Interpretation</t>
        </is>
      </c>
      <c r="C84" s="21" t="inlineStr">
        <is>
          <t>Yes</t>
        </is>
      </c>
      <c r="D84" s="21" t="inlineStr">
        <is>
          <t>T3 - Complex / procedure / management</t>
        </is>
      </c>
      <c r="E84" s="22" t="n">
        <v>13225</v>
      </c>
      <c r="F84" s="22">
        <f>E84*0.2</f>
        <v/>
      </c>
      <c r="G84" s="23" t="n">
        <v>3500</v>
      </c>
      <c r="H84" s="22">
        <f>ROUND(G84*0.2,0)</f>
        <v/>
      </c>
      <c r="I84" s="22">
        <f>G84-H84</f>
        <v/>
      </c>
      <c r="J84" s="24">
        <f>IF(ISNUMBER(E84),G84/E84-1,"new")</f>
        <v/>
      </c>
      <c r="K84" s="22">
        <f>ROUND(G84*1.3,0)</f>
        <v/>
      </c>
      <c r="L84" s="22">
        <f>ROUND(G84*1.6,0)</f>
        <v/>
      </c>
    </row>
    <row r="85" ht="15" customHeight="1" s="12">
      <c r="A85" s="25" t="inlineStr">
        <is>
          <t>Neurology</t>
        </is>
      </c>
      <c r="B85" s="25" t="inlineStr">
        <is>
          <t>EMG/NCS Review</t>
        </is>
      </c>
      <c r="C85" s="25" t="inlineStr">
        <is>
          <t>Yes</t>
        </is>
      </c>
      <c r="D85" s="25" t="inlineStr">
        <is>
          <t>T2 - Imaging / advanced diagnostic</t>
        </is>
      </c>
      <c r="E85" s="26" t="n">
        <v>6900</v>
      </c>
      <c r="F85" s="26">
        <f>E85*0.2</f>
        <v/>
      </c>
      <c r="G85" s="27" t="n">
        <v>2400</v>
      </c>
      <c r="H85" s="26">
        <f>ROUND(G85*0.2,0)</f>
        <v/>
      </c>
      <c r="I85" s="26">
        <f>G85-H85</f>
        <v/>
      </c>
      <c r="J85" s="28">
        <f>IF(ISNUMBER(E85),G85/E85-1,"new")</f>
        <v/>
      </c>
      <c r="K85" s="26">
        <f>ROUND(G85*1.3,0)</f>
        <v/>
      </c>
      <c r="L85" s="26">
        <f>ROUND(G85*1.6,0)</f>
        <v/>
      </c>
    </row>
    <row r="86" ht="15" customHeight="1" s="12">
      <c r="A86" s="21" t="inlineStr">
        <is>
          <t>Neurology</t>
        </is>
      </c>
      <c r="B86" s="21" t="inlineStr">
        <is>
          <t>Epilepsy Imaging Review</t>
        </is>
      </c>
      <c r="C86" s="21" t="inlineStr">
        <is>
          <t>Hidden</t>
        </is>
      </c>
      <c r="D86" s="21" t="inlineStr">
        <is>
          <t>T2 - Imaging / advanced diagnostic</t>
        </is>
      </c>
      <c r="E86" s="22" t="inlineStr">
        <is>
          <t>—</t>
        </is>
      </c>
      <c r="F86" s="22" t="inlineStr">
        <is>
          <t>—</t>
        </is>
      </c>
      <c r="G86" s="23" t="n">
        <v>2400</v>
      </c>
      <c r="H86" s="22">
        <f>ROUND(G86*0.2,0)</f>
        <v/>
      </c>
      <c r="I86" s="22">
        <f>G86-H86</f>
        <v/>
      </c>
      <c r="J86" s="24">
        <f>IF(ISNUMBER(E86),G86/E86-1,"new")</f>
        <v/>
      </c>
      <c r="K86" s="22">
        <f>ROUND(G86*1.3,0)</f>
        <v/>
      </c>
      <c r="L86" s="22">
        <f>ROUND(G86*1.6,0)</f>
        <v/>
      </c>
    </row>
    <row r="87" ht="15" customHeight="1" s="12">
      <c r="A87" s="25" t="inlineStr">
        <is>
          <t>Neurology</t>
        </is>
      </c>
      <c r="B87" s="25" t="inlineStr">
        <is>
          <t>Neuro CTA Review</t>
        </is>
      </c>
      <c r="C87" s="25" t="inlineStr">
        <is>
          <t>Yes</t>
        </is>
      </c>
      <c r="D87" s="25" t="inlineStr">
        <is>
          <t>T2 - Imaging / advanced diagnostic</t>
        </is>
      </c>
      <c r="E87" s="26" t="n">
        <v>9085</v>
      </c>
      <c r="F87" s="26">
        <f>E87*0.2</f>
        <v/>
      </c>
      <c r="G87" s="27" t="n">
        <v>2400</v>
      </c>
      <c r="H87" s="26">
        <f>ROUND(G87*0.2,0)</f>
        <v/>
      </c>
      <c r="I87" s="26">
        <f>G87-H87</f>
        <v/>
      </c>
      <c r="J87" s="28">
        <f>IF(ISNUMBER(E87),G87/E87-1,"new")</f>
        <v/>
      </c>
      <c r="K87" s="26">
        <f>ROUND(G87*1.3,0)</f>
        <v/>
      </c>
      <c r="L87" s="26">
        <f>ROUND(G87*1.6,0)</f>
        <v/>
      </c>
    </row>
    <row r="88" ht="15" customHeight="1" s="12">
      <c r="A88" s="21" t="inlineStr">
        <is>
          <t>Neurology</t>
        </is>
      </c>
      <c r="B88" s="21" t="inlineStr">
        <is>
          <t>Neuro MRA Review</t>
        </is>
      </c>
      <c r="C88" s="21" t="inlineStr">
        <is>
          <t>Yes</t>
        </is>
      </c>
      <c r="D88" s="21" t="inlineStr">
        <is>
          <t>T2 - Imaging / advanced diagnostic</t>
        </is>
      </c>
      <c r="E88" s="22" t="n">
        <v>6210</v>
      </c>
      <c r="F88" s="22">
        <f>E88*0.2</f>
        <v/>
      </c>
      <c r="G88" s="23" t="n">
        <v>2400</v>
      </c>
      <c r="H88" s="22">
        <f>ROUND(G88*0.2,0)</f>
        <v/>
      </c>
      <c r="I88" s="22">
        <f>G88-H88</f>
        <v/>
      </c>
      <c r="J88" s="24">
        <f>IF(ISNUMBER(E88),G88/E88-1,"new")</f>
        <v/>
      </c>
      <c r="K88" s="22">
        <f>ROUND(G88*1.3,0)</f>
        <v/>
      </c>
      <c r="L88" s="22">
        <f>ROUND(G88*1.6,0)</f>
        <v/>
      </c>
    </row>
    <row r="89" ht="15" customHeight="1" s="12">
      <c r="A89" s="25" t="inlineStr">
        <is>
          <t>Neurology</t>
        </is>
      </c>
      <c r="B89" s="25" t="inlineStr">
        <is>
          <t>Neuro Spine MRI Review</t>
        </is>
      </c>
      <c r="C89" s="25" t="inlineStr">
        <is>
          <t>Yes</t>
        </is>
      </c>
      <c r="D89" s="25" t="inlineStr">
        <is>
          <t>T2 - Imaging / advanced diagnostic</t>
        </is>
      </c>
      <c r="E89" s="26" t="n">
        <v>9315</v>
      </c>
      <c r="F89" s="26">
        <f>E89*0.2</f>
        <v/>
      </c>
      <c r="G89" s="27" t="n">
        <v>2400</v>
      </c>
      <c r="H89" s="26">
        <f>ROUND(G89*0.2,0)</f>
        <v/>
      </c>
      <c r="I89" s="26">
        <f>G89-H89</f>
        <v/>
      </c>
      <c r="J89" s="28">
        <f>IF(ISNUMBER(E89),G89/E89-1,"new")</f>
        <v/>
      </c>
      <c r="K89" s="26">
        <f>ROUND(G89*1.3,0)</f>
        <v/>
      </c>
      <c r="L89" s="26">
        <f>ROUND(G89*1.6,0)</f>
        <v/>
      </c>
    </row>
    <row r="90" ht="15" customHeight="1" s="12">
      <c r="A90" s="21" t="inlineStr">
        <is>
          <t>Neurology</t>
        </is>
      </c>
      <c r="B90" s="21" t="inlineStr">
        <is>
          <t>Neurovascular Review</t>
        </is>
      </c>
      <c r="C90" s="21" t="inlineStr">
        <is>
          <t>Hidden</t>
        </is>
      </c>
      <c r="D90" s="21" t="inlineStr">
        <is>
          <t>T2 - Imaging / advanced diagnostic</t>
        </is>
      </c>
      <c r="E90" s="22" t="inlineStr">
        <is>
          <t>—</t>
        </is>
      </c>
      <c r="F90" s="22" t="inlineStr">
        <is>
          <t>—</t>
        </is>
      </c>
      <c r="G90" s="23" t="n">
        <v>2400</v>
      </c>
      <c r="H90" s="22">
        <f>ROUND(G90*0.2,0)</f>
        <v/>
      </c>
      <c r="I90" s="22">
        <f>G90-H90</f>
        <v/>
      </c>
      <c r="J90" s="24">
        <f>IF(ISNUMBER(E90),G90/E90-1,"new")</f>
        <v/>
      </c>
      <c r="K90" s="22">
        <f>ROUND(G90*1.3,0)</f>
        <v/>
      </c>
      <c r="L90" s="22">
        <f>ROUND(G90*1.6,0)</f>
        <v/>
      </c>
    </row>
    <row r="91" ht="15" customHeight="1" s="12">
      <c r="A91" s="25" t="inlineStr">
        <is>
          <t>Neurology</t>
        </is>
      </c>
      <c r="B91" s="25" t="inlineStr">
        <is>
          <t>Perfusion Imaging Review</t>
        </is>
      </c>
      <c r="C91" s="25" t="inlineStr">
        <is>
          <t>Hidden</t>
        </is>
      </c>
      <c r="D91" s="25" t="inlineStr">
        <is>
          <t>T2 - Imaging / advanced diagnostic</t>
        </is>
      </c>
      <c r="E91" s="26" t="inlineStr">
        <is>
          <t>—</t>
        </is>
      </c>
      <c r="F91" s="26" t="inlineStr">
        <is>
          <t>—</t>
        </is>
      </c>
      <c r="G91" s="27" t="n">
        <v>2400</v>
      </c>
      <c r="H91" s="26">
        <f>ROUND(G91*0.2,0)</f>
        <v/>
      </c>
      <c r="I91" s="26">
        <f>G91-H91</f>
        <v/>
      </c>
      <c r="J91" s="28">
        <f>IF(ISNUMBER(E91),G91/E91-1,"new")</f>
        <v/>
      </c>
      <c r="K91" s="26">
        <f>ROUND(G91*1.3,0)</f>
        <v/>
      </c>
      <c r="L91" s="26">
        <f>ROUND(G91*1.6,0)</f>
        <v/>
      </c>
    </row>
    <row r="92" ht="15" customHeight="1" s="12">
      <c r="A92" s="21" t="inlineStr">
        <is>
          <t>Neurology</t>
        </is>
      </c>
      <c r="B92" s="21" t="inlineStr">
        <is>
          <t>Stroke Imaging Review</t>
        </is>
      </c>
      <c r="C92" s="21" t="inlineStr">
        <is>
          <t>Hidden</t>
        </is>
      </c>
      <c r="D92" s="21" t="inlineStr">
        <is>
          <t>T2 - Imaging / advanced diagnostic</t>
        </is>
      </c>
      <c r="E92" s="22" t="inlineStr">
        <is>
          <t>—</t>
        </is>
      </c>
      <c r="F92" s="22" t="inlineStr">
        <is>
          <t>—</t>
        </is>
      </c>
      <c r="G92" s="23" t="n">
        <v>2400</v>
      </c>
      <c r="H92" s="22">
        <f>ROUND(G92*0.2,0)</f>
        <v/>
      </c>
      <c r="I92" s="22">
        <f>G92-H92</f>
        <v/>
      </c>
      <c r="J92" s="24">
        <f>IF(ISNUMBER(E92),G92/E92-1,"new")</f>
        <v/>
      </c>
      <c r="K92" s="22">
        <f>ROUND(G92*1.3,0)</f>
        <v/>
      </c>
      <c r="L92" s="22">
        <f>ROUND(G92*1.6,0)</f>
        <v/>
      </c>
    </row>
    <row r="93" ht="15" customHeight="1" s="12">
      <c r="A93" s="25" t="inlineStr">
        <is>
          <t>OB/GYN</t>
        </is>
      </c>
      <c r="B93" s="25" t="inlineStr">
        <is>
          <t>Fertility Panel Review</t>
        </is>
      </c>
      <c r="C93" s="25" t="inlineStr">
        <is>
          <t>Yes</t>
        </is>
      </c>
      <c r="D93" s="25" t="inlineStr">
        <is>
          <t>T2 - Imaging / advanced diagnostic</t>
        </is>
      </c>
      <c r="E93" s="26" t="n">
        <v>2990</v>
      </c>
      <c r="F93" s="26">
        <f>E93*0.2</f>
        <v/>
      </c>
      <c r="G93" s="27" t="n">
        <v>2400</v>
      </c>
      <c r="H93" s="26">
        <f>ROUND(G93*0.2,0)</f>
        <v/>
      </c>
      <c r="I93" s="26">
        <f>G93-H93</f>
        <v/>
      </c>
      <c r="J93" s="28">
        <f>IF(ISNUMBER(E93),G93/E93-1,"new")</f>
        <v/>
      </c>
      <c r="K93" s="26">
        <f>ROUND(G93*1.3,0)</f>
        <v/>
      </c>
      <c r="L93" s="26">
        <f>ROUND(G93*1.6,0)</f>
        <v/>
      </c>
    </row>
    <row r="94" ht="15" customHeight="1" s="12">
      <c r="A94" s="21" t="inlineStr">
        <is>
          <t>OB/GYN</t>
        </is>
      </c>
      <c r="B94" s="21" t="inlineStr">
        <is>
          <t>Fetal Echocardiography Review</t>
        </is>
      </c>
      <c r="C94" s="21" t="inlineStr">
        <is>
          <t>Yes</t>
        </is>
      </c>
      <c r="D94" s="21" t="inlineStr">
        <is>
          <t>T3 - Complex / procedure / management</t>
        </is>
      </c>
      <c r="E94" s="22" t="n">
        <v>5980</v>
      </c>
      <c r="F94" s="22">
        <f>E94*0.2</f>
        <v/>
      </c>
      <c r="G94" s="23" t="n">
        <v>3500</v>
      </c>
      <c r="H94" s="22">
        <f>ROUND(G94*0.2,0)</f>
        <v/>
      </c>
      <c r="I94" s="22">
        <f>G94-H94</f>
        <v/>
      </c>
      <c r="J94" s="24">
        <f>IF(ISNUMBER(E94),G94/E94-1,"new")</f>
        <v/>
      </c>
      <c r="K94" s="22">
        <f>ROUND(G94*1.3,0)</f>
        <v/>
      </c>
      <c r="L94" s="22">
        <f>ROUND(G94*1.6,0)</f>
        <v/>
      </c>
    </row>
    <row r="95" ht="15" customHeight="1" s="12">
      <c r="A95" s="25" t="inlineStr">
        <is>
          <t>OB/GYN</t>
        </is>
      </c>
      <c r="B95" s="25" t="inlineStr">
        <is>
          <t>Fibroid Management Review</t>
        </is>
      </c>
      <c r="C95" s="25" t="inlineStr">
        <is>
          <t>Yes</t>
        </is>
      </c>
      <c r="D95" s="25" t="inlineStr">
        <is>
          <t>T3 - Complex / procedure / management</t>
        </is>
      </c>
      <c r="E95" s="26" t="n">
        <v>3680</v>
      </c>
      <c r="F95" s="26">
        <f>E95*0.2</f>
        <v/>
      </c>
      <c r="G95" s="27" t="n">
        <v>3500</v>
      </c>
      <c r="H95" s="26">
        <f>ROUND(G95*0.2,0)</f>
        <v/>
      </c>
      <c r="I95" s="26">
        <f>G95-H95</f>
        <v/>
      </c>
      <c r="J95" s="28">
        <f>IF(ISNUMBER(E95),G95/E95-1,"new")</f>
        <v/>
      </c>
      <c r="K95" s="26">
        <f>ROUND(G95*1.3,0)</f>
        <v/>
      </c>
      <c r="L95" s="26">
        <f>ROUND(G95*1.6,0)</f>
        <v/>
      </c>
    </row>
    <row r="96" ht="15" customHeight="1" s="12">
      <c r="A96" s="21" t="inlineStr">
        <is>
          <t>OB/GYN</t>
        </is>
      </c>
      <c r="B96" s="21" t="inlineStr">
        <is>
          <t>Gynaecological Ultrasound Review</t>
        </is>
      </c>
      <c r="C96" s="21" t="inlineStr">
        <is>
          <t>Yes</t>
        </is>
      </c>
      <c r="D96" s="21" t="inlineStr">
        <is>
          <t>T1 - Basic test / report</t>
        </is>
      </c>
      <c r="E96" s="22" t="n">
        <v>2185</v>
      </c>
      <c r="F96" s="22">
        <f>E96*0.2</f>
        <v/>
      </c>
      <c r="G96" s="23" t="n">
        <v>1600</v>
      </c>
      <c r="H96" s="22">
        <f>ROUND(G96*0.2,0)</f>
        <v/>
      </c>
      <c r="I96" s="22">
        <f>G96-H96</f>
        <v/>
      </c>
      <c r="J96" s="24">
        <f>IF(ISNUMBER(E96),G96/E96-1,"new")</f>
        <v/>
      </c>
      <c r="K96" s="22">
        <f>ROUND(G96*1.3,0)</f>
        <v/>
      </c>
      <c r="L96" s="22">
        <f>ROUND(G96*1.6,0)</f>
        <v/>
      </c>
    </row>
    <row r="97" ht="15" customHeight="1" s="12">
      <c r="A97" s="25" t="inlineStr">
        <is>
          <t>OB/GYN</t>
        </is>
      </c>
      <c r="B97" s="25" t="inlineStr">
        <is>
          <t>HSG Report Review</t>
        </is>
      </c>
      <c r="C97" s="25" t="inlineStr">
        <is>
          <t>Yes</t>
        </is>
      </c>
      <c r="D97" s="25" t="inlineStr">
        <is>
          <t>T2 - Imaging / advanced diagnostic</t>
        </is>
      </c>
      <c r="E97" s="26" t="n">
        <v>2990</v>
      </c>
      <c r="F97" s="26">
        <f>E97*0.2</f>
        <v/>
      </c>
      <c r="G97" s="27" t="n">
        <v>2400</v>
      </c>
      <c r="H97" s="26">
        <f>ROUND(G97*0.2,0)</f>
        <v/>
      </c>
      <c r="I97" s="26">
        <f>G97-H97</f>
        <v/>
      </c>
      <c r="J97" s="28">
        <f>IF(ISNUMBER(E97),G97/E97-1,"new")</f>
        <v/>
      </c>
      <c r="K97" s="26">
        <f>ROUND(G97*1.3,0)</f>
        <v/>
      </c>
      <c r="L97" s="26">
        <f>ROUND(G97*1.6,0)</f>
        <v/>
      </c>
    </row>
    <row r="98" ht="15" customHeight="1" s="12">
      <c r="A98" s="21" t="inlineStr">
        <is>
          <t>OB/GYN</t>
        </is>
      </c>
      <c r="B98" s="21" t="inlineStr">
        <is>
          <t>MRI Pelvis Review</t>
        </is>
      </c>
      <c r="C98" s="21" t="inlineStr">
        <is>
          <t>Yes</t>
        </is>
      </c>
      <c r="D98" s="21" t="inlineStr">
        <is>
          <t>T2 - Imaging / advanced diagnostic</t>
        </is>
      </c>
      <c r="E98" s="22" t="n">
        <v>7935</v>
      </c>
      <c r="F98" s="22">
        <f>E98*0.2</f>
        <v/>
      </c>
      <c r="G98" s="23" t="n">
        <v>2400</v>
      </c>
      <c r="H98" s="22">
        <f>ROUND(G98*0.2,0)</f>
        <v/>
      </c>
      <c r="I98" s="22">
        <f>G98-H98</f>
        <v/>
      </c>
      <c r="J98" s="24">
        <f>IF(ISNUMBER(E98),G98/E98-1,"new")</f>
        <v/>
      </c>
      <c r="K98" s="22">
        <f>ROUND(G98*1.3,0)</f>
        <v/>
      </c>
      <c r="L98" s="22">
        <f>ROUND(G98*1.6,0)</f>
        <v/>
      </c>
    </row>
    <row r="99" ht="15" customHeight="1" s="12">
      <c r="A99" s="25" t="inlineStr">
        <is>
          <t>OB/GYN</t>
        </is>
      </c>
      <c r="B99" s="25" t="inlineStr">
        <is>
          <t>Obstetric Ultrasound Review</t>
        </is>
      </c>
      <c r="C99" s="25" t="inlineStr">
        <is>
          <t>Yes</t>
        </is>
      </c>
      <c r="D99" s="25" t="inlineStr">
        <is>
          <t>T1 - Basic test / report</t>
        </is>
      </c>
      <c r="E99" s="26" t="n">
        <v>2185</v>
      </c>
      <c r="F99" s="26">
        <f>E99*0.2</f>
        <v/>
      </c>
      <c r="G99" s="27" t="n">
        <v>1600</v>
      </c>
      <c r="H99" s="26">
        <f>ROUND(G99*0.2,0)</f>
        <v/>
      </c>
      <c r="I99" s="26">
        <f>G99-H99</f>
        <v/>
      </c>
      <c r="J99" s="28">
        <f>IF(ISNUMBER(E99),G99/E99-1,"new")</f>
        <v/>
      </c>
      <c r="K99" s="26">
        <f>ROUND(G99*1.3,0)</f>
        <v/>
      </c>
      <c r="L99" s="26">
        <f>ROUND(G99*1.6,0)</f>
        <v/>
      </c>
    </row>
    <row r="100" ht="15" customHeight="1" s="12">
      <c r="A100" s="21" t="inlineStr">
        <is>
          <t>OB/GYN</t>
        </is>
      </c>
      <c r="B100" s="21" t="inlineStr">
        <is>
          <t>Pap Smear Report Review</t>
        </is>
      </c>
      <c r="C100" s="21" t="inlineStr">
        <is>
          <t>Yes</t>
        </is>
      </c>
      <c r="D100" s="21" t="inlineStr">
        <is>
          <t>T1 - Basic test / report</t>
        </is>
      </c>
      <c r="E100" s="22" t="n">
        <v>1380</v>
      </c>
      <c r="F100" s="22">
        <f>E100*0.2</f>
        <v/>
      </c>
      <c r="G100" s="23" t="n">
        <v>1600</v>
      </c>
      <c r="H100" s="22">
        <f>ROUND(G100*0.2,0)</f>
        <v/>
      </c>
      <c r="I100" s="22">
        <f>G100-H100</f>
        <v/>
      </c>
      <c r="J100" s="24">
        <f>IF(ISNUMBER(E100),G100/E100-1,"new")</f>
        <v/>
      </c>
      <c r="K100" s="22">
        <f>ROUND(G100*1.3,0)</f>
        <v/>
      </c>
      <c r="L100" s="22">
        <f>ROUND(G100*1.6,0)</f>
        <v/>
      </c>
    </row>
    <row r="101" ht="15" customHeight="1" s="12">
      <c r="A101" s="25" t="inlineStr">
        <is>
          <t>OB/GYN</t>
        </is>
      </c>
      <c r="B101" s="25" t="inlineStr">
        <is>
          <t>Prenatal Labs Review</t>
        </is>
      </c>
      <c r="C101" s="25" t="inlineStr">
        <is>
          <t>Yes</t>
        </is>
      </c>
      <c r="D101" s="25" t="inlineStr">
        <is>
          <t>T1 - Basic test / report</t>
        </is>
      </c>
      <c r="E101" s="26" t="n">
        <v>1725</v>
      </c>
      <c r="F101" s="26">
        <f>E101*0.2</f>
        <v/>
      </c>
      <c r="G101" s="27" t="n">
        <v>1600</v>
      </c>
      <c r="H101" s="26">
        <f>ROUND(G101*0.2,0)</f>
        <v/>
      </c>
      <c r="I101" s="26">
        <f>G101-H101</f>
        <v/>
      </c>
      <c r="J101" s="28">
        <f>IF(ISNUMBER(E101),G101/E101-1,"new")</f>
        <v/>
      </c>
      <c r="K101" s="26">
        <f>ROUND(G101*1.3,0)</f>
        <v/>
      </c>
      <c r="L101" s="26">
        <f>ROUND(G101*1.6,0)</f>
        <v/>
      </c>
    </row>
    <row r="102" ht="15" customHeight="1" s="12">
      <c r="A102" s="21" t="inlineStr">
        <is>
          <t>Oncology</t>
        </is>
      </c>
      <c r="B102" s="21" t="inlineStr">
        <is>
          <t>Bone Marrow Biopsy Review</t>
        </is>
      </c>
      <c r="C102" s="21" t="inlineStr">
        <is>
          <t>Hidden</t>
        </is>
      </c>
      <c r="D102" s="21" t="inlineStr">
        <is>
          <t>T5 - Pre-op / oncology-grade</t>
        </is>
      </c>
      <c r="E102" s="22" t="n">
        <v>11500</v>
      </c>
      <c r="F102" s="22">
        <f>E102*0.2</f>
        <v/>
      </c>
      <c r="G102" s="23" t="n">
        <v>5500</v>
      </c>
      <c r="H102" s="22">
        <f>ROUND(G102*0.2,0)</f>
        <v/>
      </c>
      <c r="I102" s="22">
        <f>G102-H102</f>
        <v/>
      </c>
      <c r="J102" s="24">
        <f>IF(ISNUMBER(E102),G102/E102-1,"new")</f>
        <v/>
      </c>
      <c r="K102" s="22">
        <f>ROUND(G102*1.3,0)</f>
        <v/>
      </c>
      <c r="L102" s="22">
        <f>ROUND(G102*1.6,0)</f>
        <v/>
      </c>
    </row>
    <row r="103" ht="15" customHeight="1" s="12">
      <c r="A103" s="25" t="inlineStr">
        <is>
          <t>Oncology</t>
        </is>
      </c>
      <c r="B103" s="25" t="inlineStr">
        <is>
          <t>CT/MRI Staging Review</t>
        </is>
      </c>
      <c r="C103" s="25" t="inlineStr">
        <is>
          <t>Hidden</t>
        </is>
      </c>
      <c r="D103" s="25" t="inlineStr">
        <is>
          <t>T5 - Pre-op / oncology-grade</t>
        </is>
      </c>
      <c r="E103" s="26" t="n">
        <v>17480</v>
      </c>
      <c r="F103" s="26">
        <f>E103*0.2</f>
        <v/>
      </c>
      <c r="G103" s="27" t="n">
        <v>5500</v>
      </c>
      <c r="H103" s="26">
        <f>ROUND(G103*0.2,0)</f>
        <v/>
      </c>
      <c r="I103" s="26">
        <f>G103-H103</f>
        <v/>
      </c>
      <c r="J103" s="28">
        <f>IF(ISNUMBER(E103),G103/E103-1,"new")</f>
        <v/>
      </c>
      <c r="K103" s="26">
        <f>ROUND(G103*1.3,0)</f>
        <v/>
      </c>
      <c r="L103" s="26">
        <f>ROUND(G103*1.6,0)</f>
        <v/>
      </c>
    </row>
    <row r="104" ht="15" customHeight="1" s="12">
      <c r="A104" s="21" t="inlineStr">
        <is>
          <t>Oncology</t>
        </is>
      </c>
      <c r="B104" s="21" t="inlineStr">
        <is>
          <t>Cytology Report Review</t>
        </is>
      </c>
      <c r="C104" s="21" t="inlineStr">
        <is>
          <t>Hidden</t>
        </is>
      </c>
      <c r="D104" s="21" t="inlineStr">
        <is>
          <t>T2 - Imaging / advanced diagnostic</t>
        </is>
      </c>
      <c r="E104" s="22" t="inlineStr">
        <is>
          <t>—</t>
        </is>
      </c>
      <c r="F104" s="22" t="inlineStr">
        <is>
          <t>—</t>
        </is>
      </c>
      <c r="G104" s="23" t="n">
        <v>2400</v>
      </c>
      <c r="H104" s="22">
        <f>ROUND(G104*0.2,0)</f>
        <v/>
      </c>
      <c r="I104" s="22">
        <f>G104-H104</f>
        <v/>
      </c>
      <c r="J104" s="24">
        <f>IF(ISNUMBER(E104),G104/E104-1,"new")</f>
        <v/>
      </c>
      <c r="K104" s="22">
        <f>ROUND(G104*1.3,0)</f>
        <v/>
      </c>
      <c r="L104" s="22">
        <f>ROUND(G104*1.6,0)</f>
        <v/>
      </c>
    </row>
    <row r="105" ht="15" customHeight="1" s="12">
      <c r="A105" s="25" t="inlineStr">
        <is>
          <t>Oncology</t>
        </is>
      </c>
      <c r="B105" s="25" t="inlineStr">
        <is>
          <t>Hemato-Oncology Blood Review</t>
        </is>
      </c>
      <c r="C105" s="25" t="inlineStr">
        <is>
          <t>Hidden</t>
        </is>
      </c>
      <c r="D105" s="25" t="inlineStr">
        <is>
          <t>T2 - Imaging / advanced diagnostic</t>
        </is>
      </c>
      <c r="E105" s="26" t="inlineStr">
        <is>
          <t>—</t>
        </is>
      </c>
      <c r="F105" s="26" t="inlineStr">
        <is>
          <t>—</t>
        </is>
      </c>
      <c r="G105" s="27" t="n">
        <v>2400</v>
      </c>
      <c r="H105" s="26">
        <f>ROUND(G105*0.2,0)</f>
        <v/>
      </c>
      <c r="I105" s="26">
        <f>G105-H105</f>
        <v/>
      </c>
      <c r="J105" s="28">
        <f>IF(ISNUMBER(E105),G105/E105-1,"new")</f>
        <v/>
      </c>
      <c r="K105" s="26">
        <f>ROUND(G105*1.3,0)</f>
        <v/>
      </c>
      <c r="L105" s="26">
        <f>ROUND(G105*1.6,0)</f>
        <v/>
      </c>
    </row>
    <row r="106" ht="15" customHeight="1" s="12">
      <c r="A106" s="21" t="inlineStr">
        <is>
          <t>Oncology</t>
        </is>
      </c>
      <c r="B106" s="21" t="inlineStr">
        <is>
          <t>Histopathology Report Review</t>
        </is>
      </c>
      <c r="C106" s="21" t="inlineStr">
        <is>
          <t>Hidden</t>
        </is>
      </c>
      <c r="D106" s="21" t="inlineStr">
        <is>
          <t>T2 - Imaging / advanced diagnostic</t>
        </is>
      </c>
      <c r="E106" s="22" t="inlineStr">
        <is>
          <t>—</t>
        </is>
      </c>
      <c r="F106" s="22" t="inlineStr">
        <is>
          <t>—</t>
        </is>
      </c>
      <c r="G106" s="23" t="n">
        <v>2400</v>
      </c>
      <c r="H106" s="22">
        <f>ROUND(G106*0.2,0)</f>
        <v/>
      </c>
      <c r="I106" s="22">
        <f>G106-H106</f>
        <v/>
      </c>
      <c r="J106" s="24">
        <f>IF(ISNUMBER(E106),G106/E106-1,"new")</f>
        <v/>
      </c>
      <c r="K106" s="22">
        <f>ROUND(G106*1.3,0)</f>
        <v/>
      </c>
      <c r="L106" s="22">
        <f>ROUND(G106*1.6,0)</f>
        <v/>
      </c>
    </row>
    <row r="107" ht="15" customHeight="1" s="12">
      <c r="A107" s="25" t="inlineStr">
        <is>
          <t>Oncology</t>
        </is>
      </c>
      <c r="B107" s="25" t="inlineStr">
        <is>
          <t>PET-CT Imaging Review</t>
        </is>
      </c>
      <c r="C107" s="25" t="inlineStr">
        <is>
          <t>Hidden</t>
        </is>
      </c>
      <c r="D107" s="25" t="inlineStr">
        <is>
          <t>T5 - Pre-op / oncology-grade</t>
        </is>
      </c>
      <c r="E107" s="26" t="inlineStr">
        <is>
          <t>—</t>
        </is>
      </c>
      <c r="F107" s="26" t="inlineStr">
        <is>
          <t>—</t>
        </is>
      </c>
      <c r="G107" s="27" t="n">
        <v>5500</v>
      </c>
      <c r="H107" s="26">
        <f>ROUND(G107*0.2,0)</f>
        <v/>
      </c>
      <c r="I107" s="26">
        <f>G107-H107</f>
        <v/>
      </c>
      <c r="J107" s="28">
        <f>IF(ISNUMBER(E107),G107/E107-1,"new")</f>
        <v/>
      </c>
      <c r="K107" s="26">
        <f>ROUND(G107*1.3,0)</f>
        <v/>
      </c>
      <c r="L107" s="26">
        <f>ROUND(G107*1.6,0)</f>
        <v/>
      </c>
    </row>
    <row r="108" ht="15" customHeight="1" s="12">
      <c r="A108" s="21" t="inlineStr">
        <is>
          <t>Oncology</t>
        </is>
      </c>
      <c r="B108" s="21" t="inlineStr">
        <is>
          <t>RECIST Response Assessment</t>
        </is>
      </c>
      <c r="C108" s="21" t="inlineStr">
        <is>
          <t>Hidden</t>
        </is>
      </c>
      <c r="D108" s="21" t="inlineStr">
        <is>
          <t>T5 - Pre-op / oncology-grade</t>
        </is>
      </c>
      <c r="E108" s="22" t="inlineStr">
        <is>
          <t>—</t>
        </is>
      </c>
      <c r="F108" s="22" t="inlineStr">
        <is>
          <t>—</t>
        </is>
      </c>
      <c r="G108" s="23" t="n">
        <v>5500</v>
      </c>
      <c r="H108" s="22">
        <f>ROUND(G108*0.2,0)</f>
        <v/>
      </c>
      <c r="I108" s="22">
        <f>G108-H108</f>
        <v/>
      </c>
      <c r="J108" s="24">
        <f>IF(ISNUMBER(E108),G108/E108-1,"new")</f>
        <v/>
      </c>
      <c r="K108" s="22">
        <f>ROUND(G108*1.3,0)</f>
        <v/>
      </c>
      <c r="L108" s="22">
        <f>ROUND(G108*1.6,0)</f>
        <v/>
      </c>
    </row>
    <row r="109" ht="15" customHeight="1" s="12">
      <c r="A109" s="25" t="inlineStr">
        <is>
          <t>Oncology</t>
        </is>
      </c>
      <c r="B109" s="25" t="inlineStr">
        <is>
          <t>RT Planning Scan Review</t>
        </is>
      </c>
      <c r="C109" s="25" t="inlineStr">
        <is>
          <t>Hidden</t>
        </is>
      </c>
      <c r="D109" s="25" t="inlineStr">
        <is>
          <t>T5 - Pre-op / oncology-grade</t>
        </is>
      </c>
      <c r="E109" s="26" t="inlineStr">
        <is>
          <t>—</t>
        </is>
      </c>
      <c r="F109" s="26" t="inlineStr">
        <is>
          <t>—</t>
        </is>
      </c>
      <c r="G109" s="27" t="n">
        <v>5500</v>
      </c>
      <c r="H109" s="26">
        <f>ROUND(G109*0.2,0)</f>
        <v/>
      </c>
      <c r="I109" s="26">
        <f>G109-H109</f>
        <v/>
      </c>
      <c r="J109" s="28">
        <f>IF(ISNUMBER(E109),G109/E109-1,"new")</f>
        <v/>
      </c>
      <c r="K109" s="26">
        <f>ROUND(G109*1.3,0)</f>
        <v/>
      </c>
      <c r="L109" s="26">
        <f>ROUND(G109*1.6,0)</f>
        <v/>
      </c>
    </row>
    <row r="110" ht="15" customHeight="1" s="12">
      <c r="A110" s="21" t="inlineStr">
        <is>
          <t>Oncology</t>
        </is>
      </c>
      <c r="B110" s="21" t="inlineStr">
        <is>
          <t>Tumor Markers Review</t>
        </is>
      </c>
      <c r="C110" s="21" t="inlineStr">
        <is>
          <t>Hidden</t>
        </is>
      </c>
      <c r="D110" s="21" t="inlineStr">
        <is>
          <t>T2 - Imaging / advanced diagnostic</t>
        </is>
      </c>
      <c r="E110" s="22" t="inlineStr">
        <is>
          <t>—</t>
        </is>
      </c>
      <c r="F110" s="22" t="inlineStr">
        <is>
          <t>—</t>
        </is>
      </c>
      <c r="G110" s="23" t="n">
        <v>2400</v>
      </c>
      <c r="H110" s="22">
        <f>ROUND(G110*0.2,0)</f>
        <v/>
      </c>
      <c r="I110" s="22">
        <f>G110-H110</f>
        <v/>
      </c>
      <c r="J110" s="24">
        <f>IF(ISNUMBER(E110),G110/E110-1,"new")</f>
        <v/>
      </c>
      <c r="K110" s="22">
        <f>ROUND(G110*1.3,0)</f>
        <v/>
      </c>
      <c r="L110" s="22">
        <f>ROUND(G110*1.6,0)</f>
        <v/>
      </c>
    </row>
    <row r="111" ht="15" customHeight="1" s="12">
      <c r="A111" s="25" t="inlineStr">
        <is>
          <t>Ophthalmology</t>
        </is>
      </c>
      <c r="B111" s="25" t="inlineStr">
        <is>
          <t>Diabetic Retinopathy Review</t>
        </is>
      </c>
      <c r="C111" s="25" t="inlineStr">
        <is>
          <t>Yes</t>
        </is>
      </c>
      <c r="D111" s="25" t="inlineStr">
        <is>
          <t>T2 - Imaging / advanced diagnostic</t>
        </is>
      </c>
      <c r="E111" s="26" t="n">
        <v>3680</v>
      </c>
      <c r="F111" s="26">
        <f>E111*0.2</f>
        <v/>
      </c>
      <c r="G111" s="27" t="n">
        <v>2400</v>
      </c>
      <c r="H111" s="26">
        <f>ROUND(G111*0.2,0)</f>
        <v/>
      </c>
      <c r="I111" s="26">
        <f>G111-H111</f>
        <v/>
      </c>
      <c r="J111" s="28">
        <f>IF(ISNUMBER(E111),G111/E111-1,"new")</f>
        <v/>
      </c>
      <c r="K111" s="26">
        <f>ROUND(G111*1.3,0)</f>
        <v/>
      </c>
      <c r="L111" s="26">
        <f>ROUND(G111*1.6,0)</f>
        <v/>
      </c>
    </row>
    <row r="112" ht="15" customHeight="1" s="12">
      <c r="A112" s="21" t="inlineStr">
        <is>
          <t>Ophthalmology</t>
        </is>
      </c>
      <c r="B112" s="21" t="inlineStr">
        <is>
          <t>Fluorescein Angiography Review</t>
        </is>
      </c>
      <c r="C112" s="21" t="inlineStr">
        <is>
          <t>Yes</t>
        </is>
      </c>
      <c r="D112" s="21" t="inlineStr">
        <is>
          <t>T3 - Complex / procedure / management</t>
        </is>
      </c>
      <c r="E112" s="22" t="n">
        <v>6555</v>
      </c>
      <c r="F112" s="22">
        <f>E112*0.2</f>
        <v/>
      </c>
      <c r="G112" s="23" t="n">
        <v>3500</v>
      </c>
      <c r="H112" s="22">
        <f>ROUND(G112*0.2,0)</f>
        <v/>
      </c>
      <c r="I112" s="22">
        <f>G112-H112</f>
        <v/>
      </c>
      <c r="J112" s="24">
        <f>IF(ISNUMBER(E112),G112/E112-1,"new")</f>
        <v/>
      </c>
      <c r="K112" s="22">
        <f>ROUND(G112*1.3,0)</f>
        <v/>
      </c>
      <c r="L112" s="22">
        <f>ROUND(G112*1.6,0)</f>
        <v/>
      </c>
    </row>
    <row r="113" ht="15" customHeight="1" s="12">
      <c r="A113" s="25" t="inlineStr">
        <is>
          <t>Ophthalmology</t>
        </is>
      </c>
      <c r="B113" s="25" t="inlineStr">
        <is>
          <t>Fundus Photography Review</t>
        </is>
      </c>
      <c r="C113" s="25" t="inlineStr">
        <is>
          <t>Yes</t>
        </is>
      </c>
      <c r="D113" s="25" t="inlineStr">
        <is>
          <t>T2 - Imaging / advanced diagnostic</t>
        </is>
      </c>
      <c r="E113" s="26" t="n">
        <v>2990</v>
      </c>
      <c r="F113" s="26">
        <f>E113*0.2</f>
        <v/>
      </c>
      <c r="G113" s="27" t="n">
        <v>2400</v>
      </c>
      <c r="H113" s="26">
        <f>ROUND(G113*0.2,0)</f>
        <v/>
      </c>
      <c r="I113" s="26">
        <f>G113-H113</f>
        <v/>
      </c>
      <c r="J113" s="28">
        <f>IF(ISNUMBER(E113),G113/E113-1,"new")</f>
        <v/>
      </c>
      <c r="K113" s="26">
        <f>ROUND(G113*1.3,0)</f>
        <v/>
      </c>
      <c r="L113" s="26">
        <f>ROUND(G113*1.6,0)</f>
        <v/>
      </c>
    </row>
    <row r="114" ht="15" customHeight="1" s="12">
      <c r="A114" s="21" t="inlineStr">
        <is>
          <t>Ophthalmology</t>
        </is>
      </c>
      <c r="B114" s="21" t="inlineStr">
        <is>
          <t>Glaucoma Workup Review</t>
        </is>
      </c>
      <c r="C114" s="21" t="inlineStr">
        <is>
          <t>Yes</t>
        </is>
      </c>
      <c r="D114" s="21" t="inlineStr">
        <is>
          <t>T3 - Complex / procedure / management</t>
        </is>
      </c>
      <c r="E114" s="22" t="n">
        <v>5175</v>
      </c>
      <c r="F114" s="22">
        <f>E114*0.2</f>
        <v/>
      </c>
      <c r="G114" s="23" t="n">
        <v>3500</v>
      </c>
      <c r="H114" s="22">
        <f>ROUND(G114*0.2,0)</f>
        <v/>
      </c>
      <c r="I114" s="22">
        <f>G114-H114</f>
        <v/>
      </c>
      <c r="J114" s="24">
        <f>IF(ISNUMBER(E114),G114/E114-1,"new")</f>
        <v/>
      </c>
      <c r="K114" s="22">
        <f>ROUND(G114*1.3,0)</f>
        <v/>
      </c>
      <c r="L114" s="22">
        <f>ROUND(G114*1.6,0)</f>
        <v/>
      </c>
    </row>
    <row r="115" ht="15" customHeight="1" s="12">
      <c r="A115" s="25" t="inlineStr">
        <is>
          <t>Ophthalmology</t>
        </is>
      </c>
      <c r="B115" s="25" t="inlineStr">
        <is>
          <t>MRI Orbit Review</t>
        </is>
      </c>
      <c r="C115" s="25" t="inlineStr">
        <is>
          <t>Yes</t>
        </is>
      </c>
      <c r="D115" s="25" t="inlineStr">
        <is>
          <t>T2 - Imaging / advanced diagnostic</t>
        </is>
      </c>
      <c r="E115" s="26" t="n">
        <v>7475</v>
      </c>
      <c r="F115" s="26">
        <f>E115*0.2</f>
        <v/>
      </c>
      <c r="G115" s="27" t="n">
        <v>2400</v>
      </c>
      <c r="H115" s="26">
        <f>ROUND(G115*0.2,0)</f>
        <v/>
      </c>
      <c r="I115" s="26">
        <f>G115-H115</f>
        <v/>
      </c>
      <c r="J115" s="28">
        <f>IF(ISNUMBER(E115),G115/E115-1,"new")</f>
        <v/>
      </c>
      <c r="K115" s="26">
        <f>ROUND(G115*1.3,0)</f>
        <v/>
      </c>
      <c r="L115" s="26">
        <f>ROUND(G115*1.6,0)</f>
        <v/>
      </c>
    </row>
    <row r="116" ht="15" customHeight="1" s="12">
      <c r="A116" s="21" t="inlineStr">
        <is>
          <t>Ophthalmology</t>
        </is>
      </c>
      <c r="B116" s="21" t="inlineStr">
        <is>
          <t>OCT Scan Review</t>
        </is>
      </c>
      <c r="C116" s="21" t="inlineStr">
        <is>
          <t>Yes</t>
        </is>
      </c>
      <c r="D116" s="21" t="inlineStr">
        <is>
          <t>T2 - Imaging / advanced diagnostic</t>
        </is>
      </c>
      <c r="E116" s="22" t="n">
        <v>3680</v>
      </c>
      <c r="F116" s="22">
        <f>E116*0.2</f>
        <v/>
      </c>
      <c r="G116" s="23" t="n">
        <v>2400</v>
      </c>
      <c r="H116" s="22">
        <f>ROUND(G116*0.2,0)</f>
        <v/>
      </c>
      <c r="I116" s="22">
        <f>G116-H116</f>
        <v/>
      </c>
      <c r="J116" s="24">
        <f>IF(ISNUMBER(E116),G116/E116-1,"new")</f>
        <v/>
      </c>
      <c r="K116" s="22">
        <f>ROUND(G116*1.3,0)</f>
        <v/>
      </c>
      <c r="L116" s="22">
        <f>ROUND(G116*1.6,0)</f>
        <v/>
      </c>
    </row>
    <row r="117" ht="15" customHeight="1" s="12">
      <c r="A117" s="25" t="inlineStr">
        <is>
          <t>Ophthalmology</t>
        </is>
      </c>
      <c r="B117" s="25" t="inlineStr">
        <is>
          <t>Pre-Op Surgical Opinion</t>
        </is>
      </c>
      <c r="C117" s="25" t="inlineStr">
        <is>
          <t>Yes</t>
        </is>
      </c>
      <c r="D117" s="25" t="inlineStr">
        <is>
          <t>T5 - Pre-op / oncology-grade</t>
        </is>
      </c>
      <c r="E117" s="26" t="n">
        <v>5980</v>
      </c>
      <c r="F117" s="26">
        <f>E117*0.2</f>
        <v/>
      </c>
      <c r="G117" s="27" t="n">
        <v>5500</v>
      </c>
      <c r="H117" s="26">
        <f>ROUND(G117*0.2,0)</f>
        <v/>
      </c>
      <c r="I117" s="26">
        <f>G117-H117</f>
        <v/>
      </c>
      <c r="J117" s="28">
        <f>IF(ISNUMBER(E117),G117/E117-1,"new")</f>
        <v/>
      </c>
      <c r="K117" s="26">
        <f>ROUND(G117*1.3,0)</f>
        <v/>
      </c>
      <c r="L117" s="26">
        <f>ROUND(G117*1.6,0)</f>
        <v/>
      </c>
    </row>
    <row r="118" ht="15" customHeight="1" s="12">
      <c r="A118" s="21" t="inlineStr">
        <is>
          <t>Ophthalmology</t>
        </is>
      </c>
      <c r="B118" s="21" t="inlineStr">
        <is>
          <t>Retinal Imaging Review</t>
        </is>
      </c>
      <c r="C118" s="21" t="inlineStr">
        <is>
          <t>Yes</t>
        </is>
      </c>
      <c r="D118" s="21" t="inlineStr">
        <is>
          <t>T2 - Imaging / advanced diagnostic</t>
        </is>
      </c>
      <c r="E118" s="22" t="n">
        <v>5175</v>
      </c>
      <c r="F118" s="22">
        <f>E118*0.2</f>
        <v/>
      </c>
      <c r="G118" s="23" t="n">
        <v>2400</v>
      </c>
      <c r="H118" s="22">
        <f>ROUND(G118*0.2,0)</f>
        <v/>
      </c>
      <c r="I118" s="22">
        <f>G118-H118</f>
        <v/>
      </c>
      <c r="J118" s="24">
        <f>IF(ISNUMBER(E118),G118/E118-1,"new")</f>
        <v/>
      </c>
      <c r="K118" s="22">
        <f>ROUND(G118*1.3,0)</f>
        <v/>
      </c>
      <c r="L118" s="22">
        <f>ROUND(G118*1.6,0)</f>
        <v/>
      </c>
    </row>
    <row r="119" ht="15" customHeight="1" s="12">
      <c r="A119" s="25" t="inlineStr">
        <is>
          <t>Ophthalmology</t>
        </is>
      </c>
      <c r="B119" s="25" t="inlineStr">
        <is>
          <t>Visual Field Test Review</t>
        </is>
      </c>
      <c r="C119" s="25" t="inlineStr">
        <is>
          <t>Yes</t>
        </is>
      </c>
      <c r="D119" s="25" t="inlineStr">
        <is>
          <t>T1 - Basic test / report</t>
        </is>
      </c>
      <c r="E119" s="26" t="n">
        <v>2645</v>
      </c>
      <c r="F119" s="26">
        <f>E119*0.2</f>
        <v/>
      </c>
      <c r="G119" s="27" t="n">
        <v>1600</v>
      </c>
      <c r="H119" s="26">
        <f>ROUND(G119*0.2,0)</f>
        <v/>
      </c>
      <c r="I119" s="26">
        <f>G119-H119</f>
        <v/>
      </c>
      <c r="J119" s="28">
        <f>IF(ISNUMBER(E119),G119/E119-1,"new")</f>
        <v/>
      </c>
      <c r="K119" s="26">
        <f>ROUND(G119*1.3,0)</f>
        <v/>
      </c>
      <c r="L119" s="26">
        <f>ROUND(G119*1.6,0)</f>
        <v/>
      </c>
    </row>
    <row r="120" ht="15" customHeight="1" s="12">
      <c r="A120" s="21" t="inlineStr">
        <is>
          <t>Orthopedics</t>
        </is>
      </c>
      <c r="B120" s="21" t="inlineStr">
        <is>
          <t>Bone Density (DEXA) Review</t>
        </is>
      </c>
      <c r="C120" s="21" t="inlineStr">
        <is>
          <t>Yes</t>
        </is>
      </c>
      <c r="D120" s="21" t="inlineStr">
        <is>
          <t>T1 - Basic test / report</t>
        </is>
      </c>
      <c r="E120" s="22" t="n">
        <v>1725</v>
      </c>
      <c r="F120" s="22">
        <f>E120*0.2</f>
        <v/>
      </c>
      <c r="G120" s="23" t="n">
        <v>1600</v>
      </c>
      <c r="H120" s="22">
        <f>ROUND(G120*0.2,0)</f>
        <v/>
      </c>
      <c r="I120" s="22">
        <f>G120-H120</f>
        <v/>
      </c>
      <c r="J120" s="24">
        <f>IF(ISNUMBER(E120),G120/E120-1,"new")</f>
        <v/>
      </c>
      <c r="K120" s="22">
        <f>ROUND(G120*1.3,0)</f>
        <v/>
      </c>
      <c r="L120" s="22">
        <f>ROUND(G120*1.6,0)</f>
        <v/>
      </c>
    </row>
    <row r="121" ht="15" customHeight="1" s="12">
      <c r="A121" s="25" t="inlineStr">
        <is>
          <t>Orthopedics</t>
        </is>
      </c>
      <c r="B121" s="25" t="inlineStr">
        <is>
          <t>CT Scan Review</t>
        </is>
      </c>
      <c r="C121" s="25" t="inlineStr">
        <is>
          <t>Yes</t>
        </is>
      </c>
      <c r="D121" s="25" t="inlineStr">
        <is>
          <t>T2 - Imaging / advanced diagnostic</t>
        </is>
      </c>
      <c r="E121" s="26" t="n">
        <v>4140</v>
      </c>
      <c r="F121" s="26">
        <f>E121*0.2</f>
        <v/>
      </c>
      <c r="G121" s="27" t="n">
        <v>2400</v>
      </c>
      <c r="H121" s="26">
        <f>ROUND(G121*0.2,0)</f>
        <v/>
      </c>
      <c r="I121" s="26">
        <f>G121-H121</f>
        <v/>
      </c>
      <c r="J121" s="28">
        <f>IF(ISNUMBER(E121),G121/E121-1,"new")</f>
        <v/>
      </c>
      <c r="K121" s="26">
        <f>ROUND(G121*1.3,0)</f>
        <v/>
      </c>
      <c r="L121" s="26">
        <f>ROUND(G121*1.6,0)</f>
        <v/>
      </c>
    </row>
    <row r="122" ht="15" customHeight="1" s="12">
      <c r="A122" s="21" t="inlineStr">
        <is>
          <t>Orthopedics</t>
        </is>
      </c>
      <c r="B122" s="21" t="inlineStr">
        <is>
          <t>Fracture Management Review</t>
        </is>
      </c>
      <c r="C122" s="21" t="inlineStr">
        <is>
          <t>Yes</t>
        </is>
      </c>
      <c r="D122" s="21" t="inlineStr">
        <is>
          <t>T3 - Complex / procedure / management</t>
        </is>
      </c>
      <c r="E122" s="22" t="n">
        <v>3680</v>
      </c>
      <c r="F122" s="22">
        <f>E122*0.2</f>
        <v/>
      </c>
      <c r="G122" s="23" t="n">
        <v>3500</v>
      </c>
      <c r="H122" s="22">
        <f>ROUND(G122*0.2,0)</f>
        <v/>
      </c>
      <c r="I122" s="22">
        <f>G122-H122</f>
        <v/>
      </c>
      <c r="J122" s="24">
        <f>IF(ISNUMBER(E122),G122/E122-1,"new")</f>
        <v/>
      </c>
      <c r="K122" s="22">
        <f>ROUND(G122*1.3,0)</f>
        <v/>
      </c>
      <c r="L122" s="22">
        <f>ROUND(G122*1.6,0)</f>
        <v/>
      </c>
    </row>
    <row r="123" ht="15" customHeight="1" s="12">
      <c r="A123" s="25" t="inlineStr">
        <is>
          <t>Orthopedics</t>
        </is>
      </c>
      <c r="B123" s="25" t="inlineStr">
        <is>
          <t>Hip MRI Review</t>
        </is>
      </c>
      <c r="C123" s="25" t="inlineStr">
        <is>
          <t>Yes</t>
        </is>
      </c>
      <c r="D123" s="25" t="inlineStr">
        <is>
          <t>T2 - Imaging / advanced diagnostic</t>
        </is>
      </c>
      <c r="E123" s="26" t="n">
        <v>4715</v>
      </c>
      <c r="F123" s="26">
        <f>E123*0.2</f>
        <v/>
      </c>
      <c r="G123" s="27" t="n">
        <v>2400</v>
      </c>
      <c r="H123" s="26">
        <f>ROUND(G123*0.2,0)</f>
        <v/>
      </c>
      <c r="I123" s="26">
        <f>G123-H123</f>
        <v/>
      </c>
      <c r="J123" s="28">
        <f>IF(ISNUMBER(E123),G123/E123-1,"new")</f>
        <v/>
      </c>
      <c r="K123" s="26">
        <f>ROUND(G123*1.3,0)</f>
        <v/>
      </c>
      <c r="L123" s="26">
        <f>ROUND(G123*1.6,0)</f>
        <v/>
      </c>
    </row>
    <row r="124" ht="15" customHeight="1" s="12">
      <c r="A124" s="21" t="inlineStr">
        <is>
          <t>Orthopedics</t>
        </is>
      </c>
      <c r="B124" s="21" t="inlineStr">
        <is>
          <t>Knee MRI Review</t>
        </is>
      </c>
      <c r="C124" s="21" t="inlineStr">
        <is>
          <t>Yes</t>
        </is>
      </c>
      <c r="D124" s="21" t="inlineStr">
        <is>
          <t>T2 - Imaging / advanced diagnostic</t>
        </is>
      </c>
      <c r="E124" s="22" t="n">
        <v>4715</v>
      </c>
      <c r="F124" s="22">
        <f>E124*0.2</f>
        <v/>
      </c>
      <c r="G124" s="23" t="n">
        <v>2400</v>
      </c>
      <c r="H124" s="22">
        <f>ROUND(G124*0.2,0)</f>
        <v/>
      </c>
      <c r="I124" s="22">
        <f>G124-H124</f>
        <v/>
      </c>
      <c r="J124" s="24">
        <f>IF(ISNUMBER(E124),G124/E124-1,"new")</f>
        <v/>
      </c>
      <c r="K124" s="22">
        <f>ROUND(G124*1.3,0)</f>
        <v/>
      </c>
      <c r="L124" s="22">
        <f>ROUND(G124*1.6,0)</f>
        <v/>
      </c>
    </row>
    <row r="125" ht="15" customHeight="1" s="12">
      <c r="A125" s="25" t="inlineStr">
        <is>
          <t>Orthopedics</t>
        </is>
      </c>
      <c r="B125" s="25" t="inlineStr">
        <is>
          <t>Orthopedic MRI Review</t>
        </is>
      </c>
      <c r="C125" s="25" t="inlineStr">
        <is>
          <t>Yes</t>
        </is>
      </c>
      <c r="D125" s="25" t="inlineStr">
        <is>
          <t>T2 - Imaging / advanced diagnostic</t>
        </is>
      </c>
      <c r="E125" s="26" t="n">
        <v>5175</v>
      </c>
      <c r="F125" s="26">
        <f>E125*0.2</f>
        <v/>
      </c>
      <c r="G125" s="27" t="n">
        <v>2400</v>
      </c>
      <c r="H125" s="26">
        <f>ROUND(G125*0.2,0)</f>
        <v/>
      </c>
      <c r="I125" s="26">
        <f>G125-H125</f>
        <v/>
      </c>
      <c r="J125" s="28">
        <f>IF(ISNUMBER(E125),G125/E125-1,"new")</f>
        <v/>
      </c>
      <c r="K125" s="26">
        <f>ROUND(G125*1.3,0)</f>
        <v/>
      </c>
      <c r="L125" s="26">
        <f>ROUND(G125*1.6,0)</f>
        <v/>
      </c>
    </row>
    <row r="126" ht="15" customHeight="1" s="12">
      <c r="A126" s="21" t="inlineStr">
        <is>
          <t>Orthopedics</t>
        </is>
      </c>
      <c r="B126" s="21" t="inlineStr">
        <is>
          <t>Post-Operative Review</t>
        </is>
      </c>
      <c r="C126" s="21" t="inlineStr">
        <is>
          <t>Yes</t>
        </is>
      </c>
      <c r="D126" s="21" t="inlineStr">
        <is>
          <t>T3 - Complex / procedure / management</t>
        </is>
      </c>
      <c r="E126" s="22" t="n">
        <v>4485</v>
      </c>
      <c r="F126" s="22">
        <f>E126*0.2</f>
        <v/>
      </c>
      <c r="G126" s="23" t="n">
        <v>3500</v>
      </c>
      <c r="H126" s="22">
        <f>ROUND(G126*0.2,0)</f>
        <v/>
      </c>
      <c r="I126" s="22">
        <f>G126-H126</f>
        <v/>
      </c>
      <c r="J126" s="24">
        <f>IF(ISNUMBER(E126),G126/E126-1,"new")</f>
        <v/>
      </c>
      <c r="K126" s="22">
        <f>ROUND(G126*1.3,0)</f>
        <v/>
      </c>
      <c r="L126" s="22">
        <f>ROUND(G126*1.6,0)</f>
        <v/>
      </c>
    </row>
    <row r="127" ht="15" customHeight="1" s="12">
      <c r="A127" s="25" t="inlineStr">
        <is>
          <t>Orthopedics</t>
        </is>
      </c>
      <c r="B127" s="25" t="inlineStr">
        <is>
          <t>Pre-Operative Opinion</t>
        </is>
      </c>
      <c r="C127" s="25" t="inlineStr">
        <is>
          <t>Yes</t>
        </is>
      </c>
      <c r="D127" s="25" t="inlineStr">
        <is>
          <t>T5 - Pre-op / oncology-grade</t>
        </is>
      </c>
      <c r="E127" s="26" t="n">
        <v>6555</v>
      </c>
      <c r="F127" s="26">
        <f>E127*0.2</f>
        <v/>
      </c>
      <c r="G127" s="27" t="n">
        <v>5500</v>
      </c>
      <c r="H127" s="26">
        <f>ROUND(G127*0.2,0)</f>
        <v/>
      </c>
      <c r="I127" s="26">
        <f>G127-H127</f>
        <v/>
      </c>
      <c r="J127" s="28">
        <f>IF(ISNUMBER(E127),G127/E127-1,"new")</f>
        <v/>
      </c>
      <c r="K127" s="26">
        <f>ROUND(G127*1.3,0)</f>
        <v/>
      </c>
      <c r="L127" s="26">
        <f>ROUND(G127*1.6,0)</f>
        <v/>
      </c>
    </row>
    <row r="128" ht="15" customHeight="1" s="12">
      <c r="A128" s="21" t="inlineStr">
        <is>
          <t>Orthopedics</t>
        </is>
      </c>
      <c r="B128" s="21" t="inlineStr">
        <is>
          <t>Shoulder MRI Review</t>
        </is>
      </c>
      <c r="C128" s="21" t="inlineStr">
        <is>
          <t>Yes</t>
        </is>
      </c>
      <c r="D128" s="21" t="inlineStr">
        <is>
          <t>T2 - Imaging / advanced diagnostic</t>
        </is>
      </c>
      <c r="E128" s="22" t="n">
        <v>4715</v>
      </c>
      <c r="F128" s="22">
        <f>E128*0.2</f>
        <v/>
      </c>
      <c r="G128" s="23" t="n">
        <v>2400</v>
      </c>
      <c r="H128" s="22">
        <f>ROUND(G128*0.2,0)</f>
        <v/>
      </c>
      <c r="I128" s="22">
        <f>G128-H128</f>
        <v/>
      </c>
      <c r="J128" s="24">
        <f>IF(ISNUMBER(E128),G128/E128-1,"new")</f>
        <v/>
      </c>
      <c r="K128" s="22">
        <f>ROUND(G128*1.3,0)</f>
        <v/>
      </c>
      <c r="L128" s="22">
        <f>ROUND(G128*1.6,0)</f>
        <v/>
      </c>
    </row>
    <row r="129" ht="15" customHeight="1" s="12">
      <c r="A129" s="25" t="inlineStr">
        <is>
          <t>Orthopedics</t>
        </is>
      </c>
      <c r="B129" s="25" t="inlineStr">
        <is>
          <t>Spine Imaging Review</t>
        </is>
      </c>
      <c r="C129" s="25" t="inlineStr">
        <is>
          <t>Yes</t>
        </is>
      </c>
      <c r="D129" s="25" t="inlineStr">
        <is>
          <t>T2 - Imaging / advanced diagnostic</t>
        </is>
      </c>
      <c r="E129" s="26" t="n">
        <v>5175</v>
      </c>
      <c r="F129" s="26">
        <f>E129*0.2</f>
        <v/>
      </c>
      <c r="G129" s="27" t="n">
        <v>2400</v>
      </c>
      <c r="H129" s="26">
        <f>ROUND(G129*0.2,0)</f>
        <v/>
      </c>
      <c r="I129" s="26">
        <f>G129-H129</f>
        <v/>
      </c>
      <c r="J129" s="28">
        <f>IF(ISNUMBER(E129),G129/E129-1,"new")</f>
        <v/>
      </c>
      <c r="K129" s="26">
        <f>ROUND(G129*1.3,0)</f>
        <v/>
      </c>
      <c r="L129" s="26">
        <f>ROUND(G129*1.6,0)</f>
        <v/>
      </c>
    </row>
    <row r="130" ht="15" customHeight="1" s="12">
      <c r="A130" s="21" t="inlineStr">
        <is>
          <t>Orthopedics</t>
        </is>
      </c>
      <c r="B130" s="21" t="inlineStr">
        <is>
          <t>X-Ray Review</t>
        </is>
      </c>
      <c r="C130" s="21" t="inlineStr">
        <is>
          <t>Yes</t>
        </is>
      </c>
      <c r="D130" s="21" t="inlineStr">
        <is>
          <t>T1 - Basic test / report</t>
        </is>
      </c>
      <c r="E130" s="22" t="n">
        <v>1380</v>
      </c>
      <c r="F130" s="22">
        <f>E130*0.2</f>
        <v/>
      </c>
      <c r="G130" s="23" t="n">
        <v>1600</v>
      </c>
      <c r="H130" s="22">
        <f>ROUND(G130*0.2,0)</f>
        <v/>
      </c>
      <c r="I130" s="22">
        <f>G130-H130</f>
        <v/>
      </c>
      <c r="J130" s="24">
        <f>IF(ISNUMBER(E130),G130/E130-1,"new")</f>
        <v/>
      </c>
      <c r="K130" s="22">
        <f>ROUND(G130*1.3,0)</f>
        <v/>
      </c>
      <c r="L130" s="22">
        <f>ROUND(G130*1.6,0)</f>
        <v/>
      </c>
    </row>
    <row r="131" ht="15" customHeight="1" s="12">
      <c r="A131" s="25" t="inlineStr">
        <is>
          <t>Psychiatry</t>
        </is>
      </c>
      <c r="B131" s="25" t="inlineStr">
        <is>
          <t>Psychiatry Consultation</t>
        </is>
      </c>
      <c r="C131" s="25" t="inlineStr">
        <is>
          <t>Hidden</t>
        </is>
      </c>
      <c r="D131" s="25" t="inlineStr">
        <is>
          <t>T3 - Complex / procedure / management</t>
        </is>
      </c>
      <c r="E131" s="26" t="n">
        <v>1500</v>
      </c>
      <c r="F131" s="26">
        <f>E131*0.2</f>
        <v/>
      </c>
      <c r="G131" s="27" t="n">
        <v>3500</v>
      </c>
      <c r="H131" s="26">
        <f>ROUND(G131*0.2,0)</f>
        <v/>
      </c>
      <c r="I131" s="26">
        <f>G131-H131</f>
        <v/>
      </c>
      <c r="J131" s="28">
        <f>IF(ISNUMBER(E131),G131/E131-1,"new")</f>
        <v/>
      </c>
      <c r="K131" s="26">
        <f>ROUND(G131*1.3,0)</f>
        <v/>
      </c>
      <c r="L131" s="26">
        <f>ROUND(G131*1.6,0)</f>
        <v/>
      </c>
    </row>
    <row r="132" ht="15" customHeight="1" s="12">
      <c r="A132" s="21" t="inlineStr">
        <is>
          <t>Pulmonology</t>
        </is>
      </c>
      <c r="B132" s="21" t="inlineStr">
        <is>
          <t>Bronchoscopy Report Review</t>
        </is>
      </c>
      <c r="C132" s="21" t="inlineStr">
        <is>
          <t>Yes</t>
        </is>
      </c>
      <c r="D132" s="21" t="inlineStr">
        <is>
          <t>T3 - Complex / procedure / management</t>
        </is>
      </c>
      <c r="E132" s="22" t="n">
        <v>6555</v>
      </c>
      <c r="F132" s="22">
        <f>E132*0.2</f>
        <v/>
      </c>
      <c r="G132" s="23" t="n">
        <v>3500</v>
      </c>
      <c r="H132" s="22">
        <f>ROUND(G132*0.2,0)</f>
        <v/>
      </c>
      <c r="I132" s="22">
        <f>G132-H132</f>
        <v/>
      </c>
      <c r="J132" s="24">
        <f>IF(ISNUMBER(E132),G132/E132-1,"new")</f>
        <v/>
      </c>
      <c r="K132" s="22">
        <f>ROUND(G132*1.3,0)</f>
        <v/>
      </c>
      <c r="L132" s="22">
        <f>ROUND(G132*1.6,0)</f>
        <v/>
      </c>
    </row>
    <row r="133" ht="15" customHeight="1" s="12">
      <c r="A133" s="25" t="inlineStr">
        <is>
          <t>Pulmonology</t>
        </is>
      </c>
      <c r="B133" s="25" t="inlineStr">
        <is>
          <t>Chest X-Ray Review</t>
        </is>
      </c>
      <c r="C133" s="25" t="inlineStr">
        <is>
          <t>Yes</t>
        </is>
      </c>
      <c r="D133" s="25" t="inlineStr">
        <is>
          <t>T1 - Basic test / report</t>
        </is>
      </c>
      <c r="E133" s="26" t="n">
        <v>920</v>
      </c>
      <c r="F133" s="26">
        <f>E133*0.2</f>
        <v/>
      </c>
      <c r="G133" s="27" t="n">
        <v>1600</v>
      </c>
      <c r="H133" s="26">
        <f>ROUND(G133*0.2,0)</f>
        <v/>
      </c>
      <c r="I133" s="26">
        <f>G133-H133</f>
        <v/>
      </c>
      <c r="J133" s="28">
        <f>IF(ISNUMBER(E133),G133/E133-1,"new")</f>
        <v/>
      </c>
      <c r="K133" s="26">
        <f>ROUND(G133*1.3,0)</f>
        <v/>
      </c>
      <c r="L133" s="26">
        <f>ROUND(G133*1.6,0)</f>
        <v/>
      </c>
    </row>
    <row r="134" ht="15" customHeight="1" s="12">
      <c r="A134" s="21" t="inlineStr">
        <is>
          <t>Pulmonology</t>
        </is>
      </c>
      <c r="B134" s="21" t="inlineStr">
        <is>
          <t>CT Chest Review</t>
        </is>
      </c>
      <c r="C134" s="21" t="inlineStr">
        <is>
          <t>Yes</t>
        </is>
      </c>
      <c r="D134" s="21" t="inlineStr">
        <is>
          <t>T2 - Imaging / advanced diagnostic</t>
        </is>
      </c>
      <c r="E134" s="22" t="n">
        <v>5175</v>
      </c>
      <c r="F134" s="22">
        <f>E134*0.2</f>
        <v/>
      </c>
      <c r="G134" s="23" t="n">
        <v>2400</v>
      </c>
      <c r="H134" s="22">
        <f>ROUND(G134*0.2,0)</f>
        <v/>
      </c>
      <c r="I134" s="22">
        <f>G134-H134</f>
        <v/>
      </c>
      <c r="J134" s="24">
        <f>IF(ISNUMBER(E134),G134/E134-1,"new")</f>
        <v/>
      </c>
      <c r="K134" s="22">
        <f>ROUND(G134*1.3,0)</f>
        <v/>
      </c>
      <c r="L134" s="22">
        <f>ROUND(G134*1.6,0)</f>
        <v/>
      </c>
    </row>
    <row r="135" ht="15" customHeight="1" s="12">
      <c r="A135" s="25" t="inlineStr">
        <is>
          <t>Pulmonology</t>
        </is>
      </c>
      <c r="B135" s="25" t="inlineStr">
        <is>
          <t>HRCT Chest Review</t>
        </is>
      </c>
      <c r="C135" s="25" t="inlineStr">
        <is>
          <t>Yes</t>
        </is>
      </c>
      <c r="D135" s="25" t="inlineStr">
        <is>
          <t>T3 - Complex / procedure / management</t>
        </is>
      </c>
      <c r="E135" s="26" t="n">
        <v>7475</v>
      </c>
      <c r="F135" s="26">
        <f>E135*0.2</f>
        <v/>
      </c>
      <c r="G135" s="27" t="n">
        <v>3500</v>
      </c>
      <c r="H135" s="26">
        <f>ROUND(G135*0.2,0)</f>
        <v/>
      </c>
      <c r="I135" s="26">
        <f>G135-H135</f>
        <v/>
      </c>
      <c r="J135" s="28">
        <f>IF(ISNUMBER(E135),G135/E135-1,"new")</f>
        <v/>
      </c>
      <c r="K135" s="26">
        <f>ROUND(G135*1.3,0)</f>
        <v/>
      </c>
      <c r="L135" s="26">
        <f>ROUND(G135*1.6,0)</f>
        <v/>
      </c>
    </row>
    <row r="136" ht="15" customHeight="1" s="12">
      <c r="A136" s="21" t="inlineStr">
        <is>
          <t>Pulmonology</t>
        </is>
      </c>
      <c r="B136" s="21" t="inlineStr">
        <is>
          <t>Post-COVID Lung Review</t>
        </is>
      </c>
      <c r="C136" s="21" t="inlineStr">
        <is>
          <t>Yes</t>
        </is>
      </c>
      <c r="D136" s="21" t="inlineStr">
        <is>
          <t>T2 - Imaging / advanced diagnostic</t>
        </is>
      </c>
      <c r="E136" s="22" t="n">
        <v>3680</v>
      </c>
      <c r="F136" s="22">
        <f>E136*0.2</f>
        <v/>
      </c>
      <c r="G136" s="23" t="n">
        <v>2400</v>
      </c>
      <c r="H136" s="22">
        <f>ROUND(G136*0.2,0)</f>
        <v/>
      </c>
      <c r="I136" s="22">
        <f>G136-H136</f>
        <v/>
      </c>
      <c r="J136" s="24">
        <f>IF(ISNUMBER(E136),G136/E136-1,"new")</f>
        <v/>
      </c>
      <c r="K136" s="22">
        <f>ROUND(G136*1.3,0)</f>
        <v/>
      </c>
      <c r="L136" s="22">
        <f>ROUND(G136*1.6,0)</f>
        <v/>
      </c>
    </row>
    <row r="137" ht="15" customHeight="1" s="12">
      <c r="A137" s="25" t="inlineStr">
        <is>
          <t>Pulmonology</t>
        </is>
      </c>
      <c r="B137" s="25" t="inlineStr">
        <is>
          <t>Pulmonary Function Test Review</t>
        </is>
      </c>
      <c r="C137" s="25" t="inlineStr">
        <is>
          <t>Yes</t>
        </is>
      </c>
      <c r="D137" s="25" t="inlineStr">
        <is>
          <t>T2 - Imaging / advanced diagnostic</t>
        </is>
      </c>
      <c r="E137" s="26" t="n">
        <v>3680</v>
      </c>
      <c r="F137" s="26">
        <f>E137*0.2</f>
        <v/>
      </c>
      <c r="G137" s="27" t="n">
        <v>2400</v>
      </c>
      <c r="H137" s="26">
        <f>ROUND(G137*0.2,0)</f>
        <v/>
      </c>
      <c r="I137" s="26">
        <f>G137-H137</f>
        <v/>
      </c>
      <c r="J137" s="28">
        <f>IF(ISNUMBER(E137),G137/E137-1,"new")</f>
        <v/>
      </c>
      <c r="K137" s="26">
        <f>ROUND(G137*1.3,0)</f>
        <v/>
      </c>
      <c r="L137" s="26">
        <f>ROUND(G137*1.6,0)</f>
        <v/>
      </c>
    </row>
    <row r="138" ht="15" customHeight="1" s="12">
      <c r="A138" s="21" t="inlineStr">
        <is>
          <t>Pulmonology</t>
        </is>
      </c>
      <c r="B138" s="21" t="inlineStr">
        <is>
          <t>Sleep Study (PSG) Review</t>
        </is>
      </c>
      <c r="C138" s="21" t="inlineStr">
        <is>
          <t>Yes</t>
        </is>
      </c>
      <c r="D138" s="21" t="inlineStr">
        <is>
          <t>T3 - Complex / procedure / management</t>
        </is>
      </c>
      <c r="E138" s="22" t="n">
        <v>7475</v>
      </c>
      <c r="F138" s="22">
        <f>E138*0.2</f>
        <v/>
      </c>
      <c r="G138" s="23" t="n">
        <v>3500</v>
      </c>
      <c r="H138" s="22">
        <f>ROUND(G138*0.2,0)</f>
        <v/>
      </c>
      <c r="I138" s="22">
        <f>G138-H138</f>
        <v/>
      </c>
      <c r="J138" s="24">
        <f>IF(ISNUMBER(E138),G138/E138-1,"new")</f>
        <v/>
      </c>
      <c r="K138" s="22">
        <f>ROUND(G138*1.3,0)</f>
        <v/>
      </c>
      <c r="L138" s="22">
        <f>ROUND(G138*1.6,0)</f>
        <v/>
      </c>
    </row>
    <row r="139" ht="15" customHeight="1" s="12">
      <c r="A139" s="25" t="inlineStr">
        <is>
          <t>Pulmonology</t>
        </is>
      </c>
      <c r="B139" s="25" t="inlineStr">
        <is>
          <t>TB Workup Review</t>
        </is>
      </c>
      <c r="C139" s="25" t="inlineStr">
        <is>
          <t>Yes</t>
        </is>
      </c>
      <c r="D139" s="25" t="inlineStr">
        <is>
          <t>T3 - Complex / procedure / management</t>
        </is>
      </c>
      <c r="E139" s="26" t="n">
        <v>3680</v>
      </c>
      <c r="F139" s="26">
        <f>E139*0.2</f>
        <v/>
      </c>
      <c r="G139" s="27" t="n">
        <v>3500</v>
      </c>
      <c r="H139" s="26">
        <f>ROUND(G139*0.2,0)</f>
        <v/>
      </c>
      <c r="I139" s="26">
        <f>G139-H139</f>
        <v/>
      </c>
      <c r="J139" s="28">
        <f>IF(ISNUMBER(E139),G139/E139-1,"new")</f>
        <v/>
      </c>
      <c r="K139" s="26">
        <f>ROUND(G139*1.3,0)</f>
        <v/>
      </c>
      <c r="L139" s="26">
        <f>ROUND(G139*1.6,0)</f>
        <v/>
      </c>
    </row>
    <row r="140" ht="15" customHeight="1" s="12">
      <c r="A140" s="21" t="inlineStr">
        <is>
          <t>Pulmonology</t>
        </is>
      </c>
      <c r="B140" s="21" t="inlineStr">
        <is>
          <t>V/Q Scan Review</t>
        </is>
      </c>
      <c r="C140" s="21" t="inlineStr">
        <is>
          <t>Yes</t>
        </is>
      </c>
      <c r="D140" s="21" t="inlineStr">
        <is>
          <t>T3 - Complex / procedure / management</t>
        </is>
      </c>
      <c r="E140" s="22" t="n">
        <v>6555</v>
      </c>
      <c r="F140" s="22">
        <f>E140*0.2</f>
        <v/>
      </c>
      <c r="G140" s="23" t="n">
        <v>3500</v>
      </c>
      <c r="H140" s="22">
        <f>ROUND(G140*0.2,0)</f>
        <v/>
      </c>
      <c r="I140" s="22">
        <f>G140-H140</f>
        <v/>
      </c>
      <c r="J140" s="24">
        <f>IF(ISNUMBER(E140),G140/E140-1,"new")</f>
        <v/>
      </c>
      <c r="K140" s="22">
        <f>ROUND(G140*1.3,0)</f>
        <v/>
      </c>
      <c r="L140" s="22">
        <f>ROUND(G140*1.6,0)</f>
        <v/>
      </c>
    </row>
    <row r="141" ht="15" customHeight="1" s="12">
      <c r="A141" s="25" t="inlineStr">
        <is>
          <t>Radiology</t>
        </is>
      </c>
      <c r="B141" s="25" t="inlineStr">
        <is>
          <t>Abdomen/Pelvis CT/MRI Review</t>
        </is>
      </c>
      <c r="C141" s="25" t="inlineStr">
        <is>
          <t>Yes</t>
        </is>
      </c>
      <c r="D141" s="25" t="inlineStr">
        <is>
          <t>T2 - Imaging / advanced diagnostic</t>
        </is>
      </c>
      <c r="E141" s="26" t="n">
        <v>8050</v>
      </c>
      <c r="F141" s="26">
        <f>E141*0.2</f>
        <v/>
      </c>
      <c r="G141" s="27" t="n">
        <v>2400</v>
      </c>
      <c r="H141" s="26">
        <f>ROUND(G141*0.2,0)</f>
        <v/>
      </c>
      <c r="I141" s="26">
        <f>G141-H141</f>
        <v/>
      </c>
      <c r="J141" s="28">
        <f>IF(ISNUMBER(E141),G141/E141-1,"new")</f>
        <v/>
      </c>
      <c r="K141" s="26">
        <f>ROUND(G141*1.3,0)</f>
        <v/>
      </c>
      <c r="L141" s="26">
        <f>ROUND(G141*1.6,0)</f>
        <v/>
      </c>
    </row>
    <row r="142" ht="15" customHeight="1" s="12">
      <c r="A142" s="21" t="inlineStr">
        <is>
          <t>Radiology</t>
        </is>
      </c>
      <c r="B142" s="21" t="inlineStr">
        <is>
          <t>Cardiac CT Review</t>
        </is>
      </c>
      <c r="C142" s="21" t="inlineStr">
        <is>
          <t>Yes</t>
        </is>
      </c>
      <c r="D142" s="21" t="inlineStr">
        <is>
          <t>T2 - Imaging / advanced diagnostic</t>
        </is>
      </c>
      <c r="E142" s="22" t="n">
        <v>7935</v>
      </c>
      <c r="F142" s="22">
        <f>E142*0.2</f>
        <v/>
      </c>
      <c r="G142" s="23" t="n">
        <v>2400</v>
      </c>
      <c r="H142" s="22">
        <f>ROUND(G142*0.2,0)</f>
        <v/>
      </c>
      <c r="I142" s="22">
        <f>G142-H142</f>
        <v/>
      </c>
      <c r="J142" s="24">
        <f>IF(ISNUMBER(E142),G142/E142-1,"new")</f>
        <v/>
      </c>
      <c r="K142" s="22">
        <f>ROUND(G142*1.3,0)</f>
        <v/>
      </c>
      <c r="L142" s="22">
        <f>ROUND(G142*1.6,0)</f>
        <v/>
      </c>
    </row>
    <row r="143" ht="15" customHeight="1" s="12">
      <c r="A143" s="25" t="inlineStr">
        <is>
          <t>Radiology</t>
        </is>
      </c>
      <c r="B143" s="25" t="inlineStr">
        <is>
          <t>Cardiac MRI Review</t>
        </is>
      </c>
      <c r="C143" s="25" t="inlineStr">
        <is>
          <t>Yes</t>
        </is>
      </c>
      <c r="D143" s="25" t="inlineStr">
        <is>
          <t>T2 - Imaging / advanced diagnostic</t>
        </is>
      </c>
      <c r="E143" s="26" t="n">
        <v>8395</v>
      </c>
      <c r="F143" s="26">
        <f>E143*0.2</f>
        <v/>
      </c>
      <c r="G143" s="27" t="n">
        <v>2400</v>
      </c>
      <c r="H143" s="26">
        <f>ROUND(G143*0.2,0)</f>
        <v/>
      </c>
      <c r="I143" s="26">
        <f>G143-H143</f>
        <v/>
      </c>
      <c r="J143" s="28">
        <f>IF(ISNUMBER(E143),G143/E143-1,"new")</f>
        <v/>
      </c>
      <c r="K143" s="26">
        <f>ROUND(G143*1.3,0)</f>
        <v/>
      </c>
      <c r="L143" s="26">
        <f>ROUND(G143*1.6,0)</f>
        <v/>
      </c>
    </row>
    <row r="144" ht="15" customHeight="1" s="12">
      <c r="A144" s="21" t="inlineStr">
        <is>
          <t>Radiology</t>
        </is>
      </c>
      <c r="B144" s="21" t="inlineStr">
        <is>
          <t>Chest X-Ray Review</t>
        </is>
      </c>
      <c r="C144" s="21" t="inlineStr">
        <is>
          <t>Yes</t>
        </is>
      </c>
      <c r="D144" s="21" t="inlineStr">
        <is>
          <t>T1 - Basic test / report</t>
        </is>
      </c>
      <c r="E144" s="22" t="n">
        <v>1250</v>
      </c>
      <c r="F144" s="22">
        <f>E144*0.2</f>
        <v/>
      </c>
      <c r="G144" s="23" t="n">
        <v>1600</v>
      </c>
      <c r="H144" s="22">
        <f>ROUND(G144*0.2,0)</f>
        <v/>
      </c>
      <c r="I144" s="22">
        <f>G144-H144</f>
        <v/>
      </c>
      <c r="J144" s="24">
        <f>IF(ISNUMBER(E144),G144/E144-1,"new")</f>
        <v/>
      </c>
      <c r="K144" s="22">
        <f>ROUND(G144*1.3,0)</f>
        <v/>
      </c>
      <c r="L144" s="22">
        <f>ROUND(G144*1.6,0)</f>
        <v/>
      </c>
    </row>
    <row r="145" ht="15" customHeight="1" s="12">
      <c r="A145" s="25" t="inlineStr">
        <is>
          <t>Radiology</t>
        </is>
      </c>
      <c r="B145" s="25" t="inlineStr">
        <is>
          <t>CT Scan Review</t>
        </is>
      </c>
      <c r="C145" s="25" t="inlineStr">
        <is>
          <t>Yes</t>
        </is>
      </c>
      <c r="D145" s="25" t="inlineStr">
        <is>
          <t>T2 - Imaging / advanced diagnostic</t>
        </is>
      </c>
      <c r="E145" s="26" t="n">
        <v>9085</v>
      </c>
      <c r="F145" s="26">
        <f>E145*0.2</f>
        <v/>
      </c>
      <c r="G145" s="27" t="n">
        <v>2400</v>
      </c>
      <c r="H145" s="26">
        <f>ROUND(G145*0.2,0)</f>
        <v/>
      </c>
      <c r="I145" s="26">
        <f>G145-H145</f>
        <v/>
      </c>
      <c r="J145" s="28">
        <f>IF(ISNUMBER(E145),G145/E145-1,"new")</f>
        <v/>
      </c>
      <c r="K145" s="26">
        <f>ROUND(G145*1.3,0)</f>
        <v/>
      </c>
      <c r="L145" s="26">
        <f>ROUND(G145*1.6,0)</f>
        <v/>
      </c>
    </row>
    <row r="146" ht="15" customHeight="1" s="12">
      <c r="A146" s="21" t="inlineStr">
        <is>
          <t>Radiology</t>
        </is>
      </c>
      <c r="B146" s="21" t="inlineStr">
        <is>
          <t>CT/MR Angiography Review</t>
        </is>
      </c>
      <c r="C146" s="21" t="inlineStr">
        <is>
          <t>Yes</t>
        </is>
      </c>
      <c r="D146" s="21" t="inlineStr">
        <is>
          <t>T3 - Complex / procedure / management</t>
        </is>
      </c>
      <c r="E146" s="22" t="n">
        <v>17480</v>
      </c>
      <c r="F146" s="22">
        <f>E146*0.2</f>
        <v/>
      </c>
      <c r="G146" s="23" t="n">
        <v>3500</v>
      </c>
      <c r="H146" s="22">
        <f>ROUND(G146*0.2,0)</f>
        <v/>
      </c>
      <c r="I146" s="22">
        <f>G146-H146</f>
        <v/>
      </c>
      <c r="J146" s="24">
        <f>IF(ISNUMBER(E146),G146/E146-1,"new")</f>
        <v/>
      </c>
      <c r="K146" s="22">
        <f>ROUND(G146*1.3,0)</f>
        <v/>
      </c>
      <c r="L146" s="22">
        <f>ROUND(G146*1.6,0)</f>
        <v/>
      </c>
    </row>
    <row r="147" ht="15" customHeight="1" s="12">
      <c r="A147" s="25" t="inlineStr">
        <is>
          <t>Radiology</t>
        </is>
      </c>
      <c r="B147" s="25" t="inlineStr">
        <is>
          <t>MRI Review</t>
        </is>
      </c>
      <c r="C147" s="25" t="inlineStr">
        <is>
          <t>Yes</t>
        </is>
      </c>
      <c r="D147" s="25" t="inlineStr">
        <is>
          <t>T2 - Imaging / advanced diagnostic</t>
        </is>
      </c>
      <c r="E147" s="26" t="n">
        <v>8395</v>
      </c>
      <c r="F147" s="26">
        <f>E147*0.2</f>
        <v/>
      </c>
      <c r="G147" s="27" t="n">
        <v>2400</v>
      </c>
      <c r="H147" s="26">
        <f>ROUND(G147*0.2,0)</f>
        <v/>
      </c>
      <c r="I147" s="26">
        <f>G147-H147</f>
        <v/>
      </c>
      <c r="J147" s="28">
        <f>IF(ISNUMBER(E147),G147/E147-1,"new")</f>
        <v/>
      </c>
      <c r="K147" s="26">
        <f>ROUND(G147*1.3,0)</f>
        <v/>
      </c>
      <c r="L147" s="26">
        <f>ROUND(G147*1.6,0)</f>
        <v/>
      </c>
    </row>
    <row r="148" ht="15" customHeight="1" s="12">
      <c r="A148" s="21" t="inlineStr">
        <is>
          <t>Radiology</t>
        </is>
      </c>
      <c r="B148" s="21" t="inlineStr">
        <is>
          <t>Musculoskeletal Imaging Review</t>
        </is>
      </c>
      <c r="C148" s="21" t="inlineStr">
        <is>
          <t>Yes</t>
        </is>
      </c>
      <c r="D148" s="21" t="inlineStr">
        <is>
          <t>T2 - Imaging / advanced diagnostic</t>
        </is>
      </c>
      <c r="E148" s="22" t="n">
        <v>1840</v>
      </c>
      <c r="F148" s="22">
        <f>E148*0.2</f>
        <v/>
      </c>
      <c r="G148" s="23" t="n">
        <v>2400</v>
      </c>
      <c r="H148" s="22">
        <f>ROUND(G148*0.2,0)</f>
        <v/>
      </c>
      <c r="I148" s="22">
        <f>G148-H148</f>
        <v/>
      </c>
      <c r="J148" s="24">
        <f>IF(ISNUMBER(E148),G148/E148-1,"new")</f>
        <v/>
      </c>
      <c r="K148" s="22">
        <f>ROUND(G148*1.3,0)</f>
        <v/>
      </c>
      <c r="L148" s="22">
        <f>ROUND(G148*1.6,0)</f>
        <v/>
      </c>
    </row>
    <row r="149" ht="15" customHeight="1" s="12">
      <c r="A149" s="25" t="inlineStr">
        <is>
          <t>Radiology</t>
        </is>
      </c>
      <c r="B149" s="25" t="inlineStr">
        <is>
          <t>Neuro Imaging Review</t>
        </is>
      </c>
      <c r="C149" s="25" t="inlineStr">
        <is>
          <t>Yes</t>
        </is>
      </c>
      <c r="D149" s="25" t="inlineStr">
        <is>
          <t>T2 - Imaging / advanced diagnostic</t>
        </is>
      </c>
      <c r="E149" s="26" t="n">
        <v>5233</v>
      </c>
      <c r="F149" s="26">
        <f>E149*0.2</f>
        <v/>
      </c>
      <c r="G149" s="27" t="n">
        <v>2400</v>
      </c>
      <c r="H149" s="26">
        <f>ROUND(G149*0.2,0)</f>
        <v/>
      </c>
      <c r="I149" s="26">
        <f>G149-H149</f>
        <v/>
      </c>
      <c r="J149" s="28">
        <f>IF(ISNUMBER(E149),G149/E149-1,"new")</f>
        <v/>
      </c>
      <c r="K149" s="26">
        <f>ROUND(G149*1.3,0)</f>
        <v/>
      </c>
      <c r="L149" s="26">
        <f>ROUND(G149*1.6,0)</f>
        <v/>
      </c>
    </row>
    <row r="150" ht="15" customHeight="1" s="12">
      <c r="A150" s="21" t="inlineStr">
        <is>
          <t>Radiology</t>
        </is>
      </c>
      <c r="B150" s="21" t="inlineStr">
        <is>
          <t>Oncology PET-CT Staging</t>
        </is>
      </c>
      <c r="C150" s="21" t="inlineStr">
        <is>
          <t>Hidden</t>
        </is>
      </c>
      <c r="D150" s="21" t="inlineStr">
        <is>
          <t>T5 - Pre-op / oncology-grade</t>
        </is>
      </c>
      <c r="E150" s="22" t="inlineStr">
        <is>
          <t>—</t>
        </is>
      </c>
      <c r="F150" s="22" t="inlineStr">
        <is>
          <t>—</t>
        </is>
      </c>
      <c r="G150" s="23" t="n">
        <v>5500</v>
      </c>
      <c r="H150" s="22">
        <f>ROUND(G150*0.2,0)</f>
        <v/>
      </c>
      <c r="I150" s="22">
        <f>G150-H150</f>
        <v/>
      </c>
      <c r="J150" s="24">
        <f>IF(ISNUMBER(E150),G150/E150-1,"new")</f>
        <v/>
      </c>
      <c r="K150" s="22">
        <f>ROUND(G150*1.3,0)</f>
        <v/>
      </c>
      <c r="L150" s="22">
        <f>ROUND(G150*1.6,0)</f>
        <v/>
      </c>
    </row>
    <row r="151" ht="15" customHeight="1" s="12">
      <c r="A151" s="25" t="inlineStr">
        <is>
          <t>Radiology</t>
        </is>
      </c>
      <c r="B151" s="25" t="inlineStr">
        <is>
          <t>Spine MRI Review</t>
        </is>
      </c>
      <c r="C151" s="25" t="inlineStr">
        <is>
          <t>Yes</t>
        </is>
      </c>
      <c r="D151" s="25" t="inlineStr">
        <is>
          <t>T2 - Imaging / advanced diagnostic</t>
        </is>
      </c>
      <c r="E151" s="26" t="n">
        <v>9315</v>
      </c>
      <c r="F151" s="26">
        <f>E151*0.2</f>
        <v/>
      </c>
      <c r="G151" s="27" t="n">
        <v>2400</v>
      </c>
      <c r="H151" s="26">
        <f>ROUND(G151*0.2,0)</f>
        <v/>
      </c>
      <c r="I151" s="26">
        <f>G151-H151</f>
        <v/>
      </c>
      <c r="J151" s="28">
        <f>IF(ISNUMBER(E151),G151/E151-1,"new")</f>
        <v/>
      </c>
      <c r="K151" s="26">
        <f>ROUND(G151*1.3,0)</f>
        <v/>
      </c>
      <c r="L151" s="26">
        <f>ROUND(G151*1.6,0)</f>
        <v/>
      </c>
    </row>
    <row r="152" ht="15" customHeight="1" s="12">
      <c r="A152" s="21" t="inlineStr">
        <is>
          <t>Radiology</t>
        </is>
      </c>
      <c r="B152" s="21" t="inlineStr">
        <is>
          <t>Ultrasound Review</t>
        </is>
      </c>
      <c r="C152" s="21" t="inlineStr">
        <is>
          <t>Yes</t>
        </is>
      </c>
      <c r="D152" s="21" t="inlineStr">
        <is>
          <t>T1 - Basic test / report</t>
        </is>
      </c>
      <c r="E152" s="22" t="n">
        <v>1725</v>
      </c>
      <c r="F152" s="22">
        <f>E152*0.2</f>
        <v/>
      </c>
      <c r="G152" s="23" t="n">
        <v>1600</v>
      </c>
      <c r="H152" s="22">
        <f>ROUND(G152*0.2,0)</f>
        <v/>
      </c>
      <c r="I152" s="22">
        <f>G152-H152</f>
        <v/>
      </c>
      <c r="J152" s="24">
        <f>IF(ISNUMBER(E152),G152/E152-1,"new")</f>
        <v/>
      </c>
      <c r="K152" s="22">
        <f>ROUND(G152*1.3,0)</f>
        <v/>
      </c>
      <c r="L152" s="22">
        <f>ROUND(G152*1.6,0)</f>
        <v/>
      </c>
    </row>
    <row r="153" ht="15" customHeight="1" s="12">
      <c r="A153" s="25" t="inlineStr">
        <is>
          <t>Rheumatology</t>
        </is>
      </c>
      <c r="B153" s="25" t="inlineStr">
        <is>
          <t>Rheumatology Consultation</t>
        </is>
      </c>
      <c r="C153" s="25" t="inlineStr">
        <is>
          <t>Yes</t>
        </is>
      </c>
      <c r="D153" s="25" t="inlineStr">
        <is>
          <t>T3 - Complex / procedure / management</t>
        </is>
      </c>
      <c r="E153" s="26" t="n">
        <v>1500</v>
      </c>
      <c r="F153" s="26">
        <f>E153*0.2</f>
        <v/>
      </c>
      <c r="G153" s="27" t="n">
        <v>3500</v>
      </c>
      <c r="H153" s="26">
        <f>ROUND(G153*0.2,0)</f>
        <v/>
      </c>
      <c r="I153" s="26">
        <f>G153-H153</f>
        <v/>
      </c>
      <c r="J153" s="28">
        <f>IF(ISNUMBER(E153),G153/E153-1,"new")</f>
        <v/>
      </c>
      <c r="K153" s="26">
        <f>ROUND(G153*1.3,0)</f>
        <v/>
      </c>
      <c r="L153" s="26">
        <f>ROUND(G153*1.6,0)</f>
        <v/>
      </c>
    </row>
    <row r="154" ht="15" customHeight="1" s="12">
      <c r="A154" s="21" t="inlineStr">
        <is>
          <t>Urology</t>
        </is>
      </c>
      <c r="B154" s="21" t="inlineStr">
        <is>
          <t>Bladder Ultrasound Review</t>
        </is>
      </c>
      <c r="C154" s="21" t="inlineStr">
        <is>
          <t>Yes</t>
        </is>
      </c>
      <c r="D154" s="21" t="inlineStr">
        <is>
          <t>T1 - Basic test / report</t>
        </is>
      </c>
      <c r="E154" s="22" t="n">
        <v>2185</v>
      </c>
      <c r="F154" s="22">
        <f>E154*0.2</f>
        <v/>
      </c>
      <c r="G154" s="23" t="n">
        <v>1600</v>
      </c>
      <c r="H154" s="22">
        <f>ROUND(G154*0.2,0)</f>
        <v/>
      </c>
      <c r="I154" s="22">
        <f>G154-H154</f>
        <v/>
      </c>
      <c r="J154" s="24">
        <f>IF(ISNUMBER(E154),G154/E154-1,"new")</f>
        <v/>
      </c>
      <c r="K154" s="22">
        <f>ROUND(G154*1.3,0)</f>
        <v/>
      </c>
      <c r="L154" s="22">
        <f>ROUND(G154*1.6,0)</f>
        <v/>
      </c>
    </row>
    <row r="155" ht="15" customHeight="1" s="12">
      <c r="A155" s="25" t="inlineStr">
        <is>
          <t>Urology</t>
        </is>
      </c>
      <c r="B155" s="25" t="inlineStr">
        <is>
          <t>Cystoscopy Report Review</t>
        </is>
      </c>
      <c r="C155" s="25" t="inlineStr">
        <is>
          <t>Yes</t>
        </is>
      </c>
      <c r="D155" s="25" t="inlineStr">
        <is>
          <t>T3 - Complex / procedure / management</t>
        </is>
      </c>
      <c r="E155" s="26" t="n">
        <v>5980</v>
      </c>
      <c r="F155" s="26">
        <f>E155*0.2</f>
        <v/>
      </c>
      <c r="G155" s="27" t="n">
        <v>3500</v>
      </c>
      <c r="H155" s="26">
        <f>ROUND(G155*0.2,0)</f>
        <v/>
      </c>
      <c r="I155" s="26">
        <f>G155-H155</f>
        <v/>
      </c>
      <c r="J155" s="28">
        <f>IF(ISNUMBER(E155),G155/E155-1,"new")</f>
        <v/>
      </c>
      <c r="K155" s="26">
        <f>ROUND(G155*1.3,0)</f>
        <v/>
      </c>
      <c r="L155" s="26">
        <f>ROUND(G155*1.6,0)</f>
        <v/>
      </c>
    </row>
    <row r="156" ht="15" customHeight="1" s="12">
      <c r="A156" s="21" t="inlineStr">
        <is>
          <t>Urology</t>
        </is>
      </c>
      <c r="B156" s="21" t="inlineStr">
        <is>
          <t>Kidney/Ureter CT Review</t>
        </is>
      </c>
      <c r="C156" s="21" t="inlineStr">
        <is>
          <t>Yes</t>
        </is>
      </c>
      <c r="D156" s="21" t="inlineStr">
        <is>
          <t>T2 - Imaging / advanced diagnostic</t>
        </is>
      </c>
      <c r="E156" s="22" t="n">
        <v>4140</v>
      </c>
      <c r="F156" s="22">
        <f>E156*0.2</f>
        <v/>
      </c>
      <c r="G156" s="23" t="n">
        <v>2400</v>
      </c>
      <c r="H156" s="22">
        <f>ROUND(G156*0.2,0)</f>
        <v/>
      </c>
      <c r="I156" s="22">
        <f>G156-H156</f>
        <v/>
      </c>
      <c r="J156" s="24">
        <f>IF(ISNUMBER(E156),G156/E156-1,"new")</f>
        <v/>
      </c>
      <c r="K156" s="22">
        <f>ROUND(G156*1.3,0)</f>
        <v/>
      </c>
      <c r="L156" s="22">
        <f>ROUND(G156*1.6,0)</f>
        <v/>
      </c>
    </row>
    <row r="157" ht="15" customHeight="1" s="12">
      <c r="A157" s="25" t="inlineStr">
        <is>
          <t>Urology</t>
        </is>
      </c>
      <c r="B157" s="25" t="inlineStr">
        <is>
          <t>MRI Prostate Review</t>
        </is>
      </c>
      <c r="C157" s="25" t="inlineStr">
        <is>
          <t>Yes</t>
        </is>
      </c>
      <c r="D157" s="25" t="inlineStr">
        <is>
          <t>T2 - Imaging / advanced diagnostic</t>
        </is>
      </c>
      <c r="E157" s="26" t="n">
        <v>7475</v>
      </c>
      <c r="F157" s="26">
        <f>E157*0.2</f>
        <v/>
      </c>
      <c r="G157" s="27" t="n">
        <v>2400</v>
      </c>
      <c r="H157" s="26">
        <f>ROUND(G157*0.2,0)</f>
        <v/>
      </c>
      <c r="I157" s="26">
        <f>G157-H157</f>
        <v/>
      </c>
      <c r="J157" s="28">
        <f>IF(ISNUMBER(E157),G157/E157-1,"new")</f>
        <v/>
      </c>
      <c r="K157" s="26">
        <f>ROUND(G157*1.3,0)</f>
        <v/>
      </c>
      <c r="L157" s="26">
        <f>ROUND(G157*1.6,0)</f>
        <v/>
      </c>
    </row>
    <row r="158" ht="15" customHeight="1" s="12">
      <c r="A158" s="21" t="inlineStr">
        <is>
          <t>Urology</t>
        </is>
      </c>
      <c r="B158" s="21" t="inlineStr">
        <is>
          <t>Prostate Workup Review</t>
        </is>
      </c>
      <c r="C158" s="21" t="inlineStr">
        <is>
          <t>Yes</t>
        </is>
      </c>
      <c r="D158" s="21" t="inlineStr">
        <is>
          <t>T3 - Complex / procedure / management</t>
        </is>
      </c>
      <c r="E158" s="22" t="n">
        <v>3680</v>
      </c>
      <c r="F158" s="22">
        <f>E158*0.2</f>
        <v/>
      </c>
      <c r="G158" s="23" t="n">
        <v>3500</v>
      </c>
      <c r="H158" s="22">
        <f>ROUND(G158*0.2,0)</f>
        <v/>
      </c>
      <c r="I158" s="22">
        <f>G158-H158</f>
        <v/>
      </c>
      <c r="J158" s="24">
        <f>IF(ISNUMBER(E158),G158/E158-1,"new")</f>
        <v/>
      </c>
      <c r="K158" s="22">
        <f>ROUND(G158*1.3,0)</f>
        <v/>
      </c>
      <c r="L158" s="22">
        <f>ROUND(G158*1.6,0)</f>
        <v/>
      </c>
    </row>
    <row r="159" ht="15" customHeight="1" s="12">
      <c r="A159" s="25" t="inlineStr">
        <is>
          <t>Urology</t>
        </is>
      </c>
      <c r="B159" s="25" t="inlineStr">
        <is>
          <t>PSA &amp; Prostate Panel Review</t>
        </is>
      </c>
      <c r="C159" s="25" t="inlineStr">
        <is>
          <t>Yes</t>
        </is>
      </c>
      <c r="D159" s="25" t="inlineStr">
        <is>
          <t>T2 - Imaging / advanced diagnostic</t>
        </is>
      </c>
      <c r="E159" s="26" t="n">
        <v>2185</v>
      </c>
      <c r="F159" s="26">
        <f>E159*0.2</f>
        <v/>
      </c>
      <c r="G159" s="27" t="n">
        <v>2400</v>
      </c>
      <c r="H159" s="26">
        <f>ROUND(G159*0.2,0)</f>
        <v/>
      </c>
      <c r="I159" s="26">
        <f>G159-H159</f>
        <v/>
      </c>
      <c r="J159" s="28">
        <f>IF(ISNUMBER(E159),G159/E159-1,"new")</f>
        <v/>
      </c>
      <c r="K159" s="26">
        <f>ROUND(G159*1.3,0)</f>
        <v/>
      </c>
      <c r="L159" s="26">
        <f>ROUND(G159*1.6,0)</f>
        <v/>
      </c>
    </row>
    <row r="160" ht="15" customHeight="1" s="12">
      <c r="A160" s="21" t="inlineStr">
        <is>
          <t>Urology</t>
        </is>
      </c>
      <c r="B160" s="21" t="inlineStr">
        <is>
          <t>Renal Stone Management Review</t>
        </is>
      </c>
      <c r="C160" s="21" t="inlineStr">
        <is>
          <t>Yes</t>
        </is>
      </c>
      <c r="D160" s="21" t="inlineStr">
        <is>
          <t>T3 - Complex / procedure / management</t>
        </is>
      </c>
      <c r="E160" s="22" t="n">
        <v>3680</v>
      </c>
      <c r="F160" s="22">
        <f>E160*0.2</f>
        <v/>
      </c>
      <c r="G160" s="23" t="n">
        <v>3500</v>
      </c>
      <c r="H160" s="22">
        <f>ROUND(G160*0.2,0)</f>
        <v/>
      </c>
      <c r="I160" s="22">
        <f>G160-H160</f>
        <v/>
      </c>
      <c r="J160" s="24">
        <f>IF(ISNUMBER(E160),G160/E160-1,"new")</f>
        <v/>
      </c>
      <c r="K160" s="22">
        <f>ROUND(G160*1.3,0)</f>
        <v/>
      </c>
      <c r="L160" s="22">
        <f>ROUND(G160*1.6,0)</f>
        <v/>
      </c>
    </row>
    <row r="161" ht="15" customHeight="1" s="12">
      <c r="A161" s="25" t="inlineStr">
        <is>
          <t>Urology</t>
        </is>
      </c>
      <c r="B161" s="25" t="inlineStr">
        <is>
          <t>Scrotal Ultrasound Review</t>
        </is>
      </c>
      <c r="C161" s="25" t="inlineStr">
        <is>
          <t>Yes</t>
        </is>
      </c>
      <c r="D161" s="25" t="inlineStr">
        <is>
          <t>T1 - Basic test / report</t>
        </is>
      </c>
      <c r="E161" s="26" t="n">
        <v>2645</v>
      </c>
      <c r="F161" s="26">
        <f>E161*0.2</f>
        <v/>
      </c>
      <c r="G161" s="27" t="n">
        <v>1600</v>
      </c>
      <c r="H161" s="26">
        <f>ROUND(G161*0.2,0)</f>
        <v/>
      </c>
      <c r="I161" s="26">
        <f>G161-H161</f>
        <v/>
      </c>
      <c r="J161" s="28">
        <f>IF(ISNUMBER(E161),G161/E161-1,"new")</f>
        <v/>
      </c>
      <c r="K161" s="26">
        <f>ROUND(G161*1.3,0)</f>
        <v/>
      </c>
      <c r="L161" s="26">
        <f>ROUND(G161*1.6,0)</f>
        <v/>
      </c>
    </row>
    <row r="162" ht="15" customHeight="1" s="12">
      <c r="A162" s="21" t="inlineStr">
        <is>
          <t>Urology</t>
        </is>
      </c>
      <c r="B162" s="21" t="inlineStr">
        <is>
          <t>Urodynamics Study Review</t>
        </is>
      </c>
      <c r="C162" s="21" t="inlineStr">
        <is>
          <t>Yes</t>
        </is>
      </c>
      <c r="D162" s="21" t="inlineStr">
        <is>
          <t>T3 - Complex / procedure / management</t>
        </is>
      </c>
      <c r="E162" s="22" t="n">
        <v>6555</v>
      </c>
      <c r="F162" s="22">
        <f>E162*0.2</f>
        <v/>
      </c>
      <c r="G162" s="23" t="n">
        <v>3500</v>
      </c>
      <c r="H162" s="22">
        <f>ROUND(G162*0.2,0)</f>
        <v/>
      </c>
      <c r="I162" s="22">
        <f>G162-H162</f>
        <v/>
      </c>
      <c r="J162" s="24">
        <f>IF(ISNUMBER(E162),G162/E162-1,"new")</f>
        <v/>
      </c>
      <c r="K162" s="22">
        <f>ROUND(G162*1.3,0)</f>
        <v/>
      </c>
      <c r="L162" s="22">
        <f>ROUND(G162*1.6,0)</f>
        <v/>
      </c>
    </row>
    <row r="163" ht="15" customHeight="1" s="12">
      <c r="A163" s="25" t="inlineStr">
        <is>
          <t>Vascular Surgery</t>
        </is>
      </c>
      <c r="B163" s="25" t="inlineStr">
        <is>
          <t>Vascular Surgery Consultation</t>
        </is>
      </c>
      <c r="C163" s="25" t="inlineStr">
        <is>
          <t>Yes</t>
        </is>
      </c>
      <c r="D163" s="25" t="inlineStr">
        <is>
          <t>T3 - Complex / procedure / management</t>
        </is>
      </c>
      <c r="E163" s="26" t="n">
        <v>2500</v>
      </c>
      <c r="F163" s="26">
        <f>E163*0.2</f>
        <v/>
      </c>
      <c r="G163" s="27" t="n">
        <v>3500</v>
      </c>
      <c r="H163" s="26">
        <f>ROUND(G163*0.2,0)</f>
        <v/>
      </c>
      <c r="I163" s="26">
        <f>G163-H163</f>
        <v/>
      </c>
      <c r="J163" s="28">
        <f>IF(ISNUMBER(E163),G163/E163-1,"new")</f>
        <v/>
      </c>
      <c r="K163" s="26">
        <f>ROUND(G163*1.3,0)</f>
        <v/>
      </c>
      <c r="L163" s="26">
        <f>ROUND(G163*1.6,0)</f>
        <v/>
      </c>
    </row>
  </sheetData>
  <autoFilter ref="A1:L16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0" customWidth="1" style="19" min="1" max="1"/>
  </cols>
  <sheetData>
    <row r="1" ht="15" customHeight="1" s="12">
      <c r="A1" s="29" t="inlineStr">
        <is>
          <t>Tashkheesa pricing revision - method &amp; assumptions</t>
        </is>
      </c>
    </row>
    <row r="2" ht="15" customHeight="1" s="12">
      <c r="A2" s="30" t="n"/>
    </row>
    <row r="3" ht="15" customHeight="1" s="12">
      <c r="A3" s="30" t="inlineStr">
        <is>
          <t>Source: live services table in the Tashkheesa Supabase DB, pulled 2026-07-27. 150 services across 19 specialties (rows marked Hidden are not visible in the app; several have no current price).</t>
        </is>
      </c>
    </row>
    <row r="4" ht="15" customHeight="1" s="12">
      <c r="A4" s="30" t="n"/>
    </row>
    <row r="5" ht="15" customHeight="1" s="12">
      <c r="A5" s="30" t="inlineStr">
        <is>
          <t>Method: 'middle ground' = geometric mean between international second-opinion pricing and Egyptian teleconsult pricing, then services grouped into 5 tiers:</t>
        </is>
      </c>
    </row>
    <row r="6" ht="15" customHeight="1" s="12">
      <c r="A6" s="30" t="inlineStr">
        <is>
          <t xml:space="preserve">  T1  1,600 EGP - basic single test/report review (X-ray, ECG, ultrasound, routine labs, small biopsy)</t>
        </is>
      </c>
    </row>
    <row r="7" ht="15" customHeight="1" s="12">
      <c r="A7" s="30" t="inlineStr">
        <is>
          <t xml:space="preserve">  T2  2,400 EGP - imaging &amp; advanced diagnostics (MRI, CT, echo, panels, OCT, dermoscopy)</t>
        </is>
      </c>
    </row>
    <row r="8" ht="15" customHeight="1" s="12">
      <c r="A8" s="30" t="inlineStr">
        <is>
          <t xml:space="preserve">  T3  3,500 EGP - complex/procedure/management reviews &amp; consultations (endoscopy reports, workups, EEG, biopsies, management plans)</t>
        </is>
      </c>
    </row>
    <row r="9" ht="15" customHeight="1" s="12">
      <c r="A9" s="30" t="inlineStr">
        <is>
          <t xml:space="preserve">  T5  5,500 EGP - pre-operative opinions, oncology-grade staging, bone marrow / flow cytometry</t>
        </is>
      </c>
    </row>
    <row r="10" ht="15" customHeight="1" s="12">
      <c r="A10" s="30" t="inlineStr">
        <is>
          <t xml:space="preserve">  (Proposed new entry product, not in DB: 'Quick question - written reply' at 800 EGP as the ad-friendly entry point.)</t>
        </is>
      </c>
    </row>
    <row r="11" ht="15" customHeight="1" s="12">
      <c r="A11" s="30" t="n"/>
    </row>
    <row r="12" ht="15" customHeight="1" s="12">
      <c r="A12" s="30" t="inlineStr">
        <is>
          <t>Benchmarks used: Cleveland Clinic VSO $1,690-$1,990 ($4,500 intl); Cleveland MyConsult $565; US complex consults ~$643; US radiology second reads ~$220 avg; Vezeeta Egypt teleconsults EGP 100-400. FX assumption ~EGP 48/USD.</t>
        </is>
      </c>
    </row>
    <row r="13" ht="15" customHeight="1" s="12">
      <c r="A13" s="30" t="n"/>
    </row>
    <row r="14" ht="15" customHeight="1" s="12">
      <c r="A14" s="30" t="inlineStr">
        <is>
          <t>Doctor economics: fixed 20% of invoice (formula-driven in the sheet). At T3 3,500 the doctor earns 700/case, comparable to a Cairo professor's in-person consult fee.</t>
        </is>
      </c>
    </row>
    <row r="15" ht="15" customHeight="1" s="12">
      <c r="A15" s="30" t="inlineStr">
        <is>
          <t>Turnaround multipliers kept as in DB: VIP x1.30 (~18h), Urgent x1.60 (~4h), 48h standard included.</t>
        </is>
      </c>
    </row>
    <row r="16" ht="15" customHeight="1" s="12">
      <c r="A16" s="30" t="n"/>
    </row>
    <row r="17" ht="15" customHeight="1" s="12">
      <c r="A17" s="30" t="inlineStr">
        <is>
          <t>HOW TO USE: the blue 'NEW recommended (EGP)' column is the only input - edit any cell there and the 20/80 split, change %, and VIP/Urgent columns recalculate. Tier assignment is rule-based; adjust individual services as you see fit.</t>
        </is>
      </c>
    </row>
    <row r="18" ht="15" customHeight="1" s="12">
      <c r="A18" s="30" t="inlineStr">
        <is>
          <t>Note: current 'doctor fee' in the DB already equals exactly 20% of base price on every service.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50" customWidth="1" style="12" min="1" max="1"/>
  </cols>
  <sheetData>
    <row r="1">
      <c r="A1" s="31" t="inlineStr">
        <is>
          <t>International pricing — competitor benchmarks &amp; rationale</t>
        </is>
      </c>
    </row>
    <row r="2">
      <c r="A2" s="32" t="inlineStr"/>
    </row>
    <row r="3" ht="54" customHeight="1" s="12">
      <c r="A3" s="32" t="inlineStr">
        <is>
          <t>Positioning: Shifa-credentialed specialist written second opinion, priced as the VALUE option — below premium brands and at/under budget competitors, capturing the medical-tourism gap. Doctor 20% / platform 80% uniformly.</t>
        </is>
      </c>
    </row>
    <row r="4">
      <c r="A4" s="32" t="inlineStr"/>
    </row>
    <row r="5" ht="54" customHeight="1" s="12">
      <c r="A5" s="32" t="inlineStr">
        <is>
          <t>UK (GBP) — competitor: Second Opinion Medic (GMC consultants) £199 basic / £399 specialist / £599 advanced. Teladoc UK via insurance. Tashkheesa T1-T5 £150/250/400/600 = at/under the budget UK player, Shifa-credentialed.</t>
        </is>
      </c>
    </row>
    <row r="6" ht="54" customHeight="1" s="12">
      <c r="A6" s="32" t="inlineStr">
        <is>
          <t>US (USD) — Cleveland Clinic VSO $1,690-1,990 (intl $4,500) premium; value: 2nd.MD, ReadMyMRI $150-565, MyConsult $565. Tashkheesa $120/200/350/550 = value tier, deep undercut vs premium.</t>
        </is>
      </c>
    </row>
    <row r="7" ht="54" customHeight="1" s="12">
      <c r="A7" s="32" t="inlineStr">
        <is>
          <t>UAE (AED) — specialist teleconsult AED 300-1,200 (Zavis); DXH/Health247 second-opinion programmes; MyUSADr resells US opinions higher. Tashkheesa AED 449-1,899 = specialist second opinion within/above routine-consult band, well below US resellers.</t>
        </is>
      </c>
    </row>
    <row r="8" ht="54" customHeight="1" s="12">
      <c r="A8" s="32" t="inlineStr">
        <is>
          <t>Saudi (SAR) — secondopinion.sa, Cura, MyClinic; specialist teleconsult ~SAR 100-400, second opinions higher. Tashkheesa SAR 449-1,899 mirrors UAE (comparable purchasing power, SAR~AED).</t>
        </is>
      </c>
    </row>
    <row r="9" ht="54" customHeight="1" s="12">
      <c r="A9" s="32" t="inlineStr">
        <is>
          <t>Kuwait/Qatar/Bahrain/Oman — high-income Gulf, private specialist bands comparable to UAE/Saudi. Priced to the same ~USD 300-330 T3 anchor, converted to local currency (KWD/BHD/OMR are high-value so numbers are small).</t>
        </is>
      </c>
    </row>
    <row r="10">
      <c r="A10" s="32" t="inlineStr"/>
    </row>
    <row r="11" ht="54" customHeight="1" s="12">
      <c r="A11" s="33" t="inlineStr">
        <is>
          <t>FX assumptions (per USD): EGP 48, GBP 0.77, AED 3.67, SAR 3.75, KWD 0.307, QAR 3.64, BHD 0.376, OMR 0.385. T3 lands ~$310-350 across Gulf/US, ~$520 UK (supported by UK competitor floor).</t>
        </is>
      </c>
    </row>
    <row r="12">
      <c r="A12" s="32" t="inlineStr"/>
    </row>
    <row r="13" ht="78" customHeight="1" s="12">
      <c r="A13" s="32" t="inlineStr">
        <is>
          <t>DECISION FOR ZIAD — doctor economics: current model pays the doctor 20% of the LOCAL invoice, so the same Egyptian consultant earns ~5x more on an international case (T3: $70 vs EGP 700). Great for retention. Alternative (Model B): pay the doctor a fixed EGP fee and let the platform keep the larger international remainder (higher margin, less doctor upside). This sheet uses uniform 20%. Say the word to switch to Model B.</t>
        </is>
      </c>
    </row>
    <row r="14">
      <c r="A14" s="32" t="inlineStr"/>
    </row>
    <row r="15" ht="54" customHeight="1" s="12">
      <c r="A15" s="33" t="inlineStr">
        <is>
          <t>Sources: secondopinionmedic.com/pricing; my.clevelandclinic.org/online-services/virtual-second-opinions; zavis.ai/pricing/specialist-consultation/dubai; dxh.ae; health247group.ae; secondopinion.sa; cura.sa.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5"/>
  <sheetViews>
    <sheetView workbookViewId="0">
      <selection activeCell="A1" sqref="A1"/>
    </sheetView>
  </sheetViews>
  <sheetFormatPr baseColWidth="8" defaultRowHeight="15"/>
  <cols>
    <col width="16" customWidth="1" style="12" min="1" max="1"/>
    <col width="40" customWidth="1" style="12" min="2" max="2"/>
    <col width="8" customWidth="1" style="12" min="3" max="3"/>
    <col width="34" customWidth="1" style="12" min="4" max="4"/>
    <col width="11" customWidth="1" style="12" min="5" max="5"/>
    <col width="9" customWidth="1" style="12" min="6" max="6"/>
    <col width="11" customWidth="1" style="12" min="7" max="7"/>
    <col width="9" customWidth="1" style="12" min="8" max="8"/>
    <col width="11" customWidth="1" style="12" min="9" max="9"/>
    <col width="9" customWidth="1" style="12" min="10" max="10"/>
    <col width="11" customWidth="1" style="12" min="11" max="11"/>
    <col width="9" customWidth="1" style="12" min="12" max="12"/>
    <col width="11" customWidth="1" style="12" min="13" max="13"/>
    <col width="9" customWidth="1" style="12" min="14" max="14"/>
    <col width="11" customWidth="1" style="12" min="15" max="15"/>
    <col width="9" customWidth="1" style="12" min="16" max="16"/>
    <col width="11" customWidth="1" style="12" min="17" max="17"/>
    <col width="9" customWidth="1" style="12" min="18" max="18"/>
    <col width="11" customWidth="1" style="12" min="19" max="19"/>
    <col width="9" customWidth="1" style="12" min="20" max="20"/>
  </cols>
  <sheetData>
    <row r="1" ht="30" customHeight="1" s="12">
      <c r="A1" s="34" t="inlineStr">
        <is>
          <t>Per-service international pricing (standard 48h). Each service inherits its tier price per market. Load-ready for service_regional_prices (tashkheesa_price + doctor_commission=20%).</t>
        </is>
      </c>
    </row>
    <row r="3">
      <c r="A3" s="15" t="inlineStr">
        <is>
          <t>Specialty</t>
        </is>
      </c>
      <c r="B3" s="15" t="inlineStr">
        <is>
          <t>Service</t>
        </is>
      </c>
      <c r="C3" s="15" t="inlineStr">
        <is>
          <t>Visible</t>
        </is>
      </c>
      <c r="D3" s="15" t="inlineStr">
        <is>
          <t>Tier</t>
        </is>
      </c>
      <c r="E3" s="15" t="inlineStr">
        <is>
          <t>US price (USD)</t>
        </is>
      </c>
      <c r="F3" s="15" t="inlineStr">
        <is>
          <t>US doc20</t>
        </is>
      </c>
      <c r="G3" s="15" t="inlineStr">
        <is>
          <t>GB price (GBP)</t>
        </is>
      </c>
      <c r="H3" s="15" t="inlineStr">
        <is>
          <t>GB doc20</t>
        </is>
      </c>
      <c r="I3" s="15" t="inlineStr">
        <is>
          <t>AE price (AED)</t>
        </is>
      </c>
      <c r="J3" s="15" t="inlineStr">
        <is>
          <t>AE doc20</t>
        </is>
      </c>
      <c r="K3" s="15" t="inlineStr">
        <is>
          <t>SA price (SAR)</t>
        </is>
      </c>
      <c r="L3" s="15" t="inlineStr">
        <is>
          <t>SA doc20</t>
        </is>
      </c>
      <c r="M3" s="15" t="inlineStr">
        <is>
          <t>KW price (KWD)</t>
        </is>
      </c>
      <c r="N3" s="15" t="inlineStr">
        <is>
          <t>KW doc20</t>
        </is>
      </c>
      <c r="O3" s="15" t="inlineStr">
        <is>
          <t>QA price (QAR)</t>
        </is>
      </c>
      <c r="P3" s="15" t="inlineStr">
        <is>
          <t>QA doc20</t>
        </is>
      </c>
      <c r="Q3" s="15" t="inlineStr">
        <is>
          <t>BH price (BHD)</t>
        </is>
      </c>
      <c r="R3" s="15" t="inlineStr">
        <is>
          <t>BH doc20</t>
        </is>
      </c>
      <c r="S3" s="15" t="inlineStr">
        <is>
          <t>OM price (OMR)</t>
        </is>
      </c>
      <c r="T3" s="15" t="inlineStr">
        <is>
          <t>OM doc20</t>
        </is>
      </c>
    </row>
    <row r="4">
      <c r="A4" s="17" t="inlineStr">
        <is>
          <t>Cardiology</t>
        </is>
      </c>
      <c r="B4" s="17" t="inlineStr">
        <is>
          <t>12-Lead ECG Interpretation</t>
        </is>
      </c>
      <c r="C4" s="17" t="inlineStr">
        <is>
          <t>Yes</t>
        </is>
      </c>
      <c r="D4" s="17" t="inlineStr">
        <is>
          <t>T1 - Basic test / report</t>
        </is>
      </c>
      <c r="E4" s="18" t="n">
        <v>120</v>
      </c>
      <c r="F4" s="18" t="n">
        <v>24</v>
      </c>
      <c r="G4" s="18" t="n">
        <v>150</v>
      </c>
      <c r="H4" s="18" t="n">
        <v>30</v>
      </c>
      <c r="I4" s="18" t="n">
        <v>449</v>
      </c>
      <c r="J4" s="18" t="n">
        <v>89.8</v>
      </c>
      <c r="K4" s="18" t="n">
        <v>449</v>
      </c>
      <c r="L4" s="18" t="n">
        <v>89.8</v>
      </c>
      <c r="M4" s="18" t="n">
        <v>35</v>
      </c>
      <c r="N4" s="18" t="n">
        <v>7</v>
      </c>
      <c r="O4" s="18" t="n">
        <v>449</v>
      </c>
      <c r="P4" s="18" t="n">
        <v>89.8</v>
      </c>
      <c r="Q4" s="18" t="n">
        <v>45</v>
      </c>
      <c r="R4" s="18" t="n">
        <v>9</v>
      </c>
      <c r="S4" s="18" t="n">
        <v>45</v>
      </c>
      <c r="T4" s="18" t="n">
        <v>9</v>
      </c>
    </row>
    <row r="5">
      <c r="A5" s="17" t="inlineStr">
        <is>
          <t>Cardiology</t>
        </is>
      </c>
      <c r="B5" s="17" t="inlineStr">
        <is>
          <t>Calcium Score Review</t>
        </is>
      </c>
      <c r="C5" s="17" t="inlineStr">
        <is>
          <t>Yes</t>
        </is>
      </c>
      <c r="D5" s="17" t="inlineStr">
        <is>
          <t>T2 - Imaging / advanced diagnostic</t>
        </is>
      </c>
      <c r="E5" s="18" t="n">
        <v>200</v>
      </c>
      <c r="F5" s="18" t="n">
        <v>40</v>
      </c>
      <c r="G5" s="18" t="n">
        <v>250</v>
      </c>
      <c r="H5" s="18" t="n">
        <v>50</v>
      </c>
      <c r="I5" s="18" t="n">
        <v>749</v>
      </c>
      <c r="J5" s="18" t="n">
        <v>149.8</v>
      </c>
      <c r="K5" s="18" t="n">
        <v>749</v>
      </c>
      <c r="L5" s="18" t="n">
        <v>149.8</v>
      </c>
      <c r="M5" s="18" t="n">
        <v>59</v>
      </c>
      <c r="N5" s="18" t="n">
        <v>11.8</v>
      </c>
      <c r="O5" s="18" t="n">
        <v>749</v>
      </c>
      <c r="P5" s="18" t="n">
        <v>149.8</v>
      </c>
      <c r="Q5" s="18" t="n">
        <v>75</v>
      </c>
      <c r="R5" s="18" t="n">
        <v>15</v>
      </c>
      <c r="S5" s="18" t="n">
        <v>75</v>
      </c>
      <c r="T5" s="18" t="n">
        <v>15</v>
      </c>
    </row>
    <row r="6">
      <c r="A6" s="17" t="inlineStr">
        <is>
          <t>Cardiology</t>
        </is>
      </c>
      <c r="B6" s="17" t="inlineStr">
        <is>
          <t>Cardiac MR Review</t>
        </is>
      </c>
      <c r="C6" s="17" t="inlineStr">
        <is>
          <t>Yes</t>
        </is>
      </c>
      <c r="D6" s="17" t="inlineStr">
        <is>
          <t>T2 - Imaging / advanced diagnostic</t>
        </is>
      </c>
      <c r="E6" s="18" t="n">
        <v>200</v>
      </c>
      <c r="F6" s="18" t="n">
        <v>40</v>
      </c>
      <c r="G6" s="18" t="n">
        <v>250</v>
      </c>
      <c r="H6" s="18" t="n">
        <v>50</v>
      </c>
      <c r="I6" s="18" t="n">
        <v>749</v>
      </c>
      <c r="J6" s="18" t="n">
        <v>149.8</v>
      </c>
      <c r="K6" s="18" t="n">
        <v>749</v>
      </c>
      <c r="L6" s="18" t="n">
        <v>149.8</v>
      </c>
      <c r="M6" s="18" t="n">
        <v>59</v>
      </c>
      <c r="N6" s="18" t="n">
        <v>11.8</v>
      </c>
      <c r="O6" s="18" t="n">
        <v>749</v>
      </c>
      <c r="P6" s="18" t="n">
        <v>149.8</v>
      </c>
      <c r="Q6" s="18" t="n">
        <v>75</v>
      </c>
      <c r="R6" s="18" t="n">
        <v>15</v>
      </c>
      <c r="S6" s="18" t="n">
        <v>75</v>
      </c>
      <c r="T6" s="18" t="n">
        <v>15</v>
      </c>
    </row>
    <row r="7">
      <c r="A7" s="17" t="inlineStr">
        <is>
          <t>Cardiology</t>
        </is>
      </c>
      <c r="B7" s="17" t="inlineStr">
        <is>
          <t>CT Coronary Angiography Review</t>
        </is>
      </c>
      <c r="C7" s="17" t="inlineStr">
        <is>
          <t>Yes</t>
        </is>
      </c>
      <c r="D7" s="17" t="inlineStr">
        <is>
          <t>T3 - Complex / procedure / management</t>
        </is>
      </c>
      <c r="E7" s="18" t="n">
        <v>350</v>
      </c>
      <c r="F7" s="18" t="n">
        <v>70</v>
      </c>
      <c r="G7" s="18" t="n">
        <v>400</v>
      </c>
      <c r="H7" s="18" t="n">
        <v>80</v>
      </c>
      <c r="I7" s="18" t="n">
        <v>1199</v>
      </c>
      <c r="J7" s="18" t="n">
        <v>239.8</v>
      </c>
      <c r="K7" s="18" t="n">
        <v>1199</v>
      </c>
      <c r="L7" s="18" t="n">
        <v>239.8</v>
      </c>
      <c r="M7" s="18" t="n">
        <v>95</v>
      </c>
      <c r="N7" s="18" t="n">
        <v>19</v>
      </c>
      <c r="O7" s="18" t="n">
        <v>1199</v>
      </c>
      <c r="P7" s="18" t="n">
        <v>239.8</v>
      </c>
      <c r="Q7" s="18" t="n">
        <v>119</v>
      </c>
      <c r="R7" s="18" t="n">
        <v>23.8</v>
      </c>
      <c r="S7" s="18" t="n">
        <v>119</v>
      </c>
      <c r="T7" s="18" t="n">
        <v>23.8</v>
      </c>
    </row>
    <row r="8">
      <c r="A8" s="17" t="inlineStr">
        <is>
          <t>Cardiology</t>
        </is>
      </c>
      <c r="B8" s="17" t="inlineStr">
        <is>
          <t>Echocardiogram Review</t>
        </is>
      </c>
      <c r="C8" s="17" t="inlineStr">
        <is>
          <t>Yes</t>
        </is>
      </c>
      <c r="D8" s="17" t="inlineStr">
        <is>
          <t>T2 - Imaging / advanced diagnostic</t>
        </is>
      </c>
      <c r="E8" s="18" t="n">
        <v>200</v>
      </c>
      <c r="F8" s="18" t="n">
        <v>40</v>
      </c>
      <c r="G8" s="18" t="n">
        <v>250</v>
      </c>
      <c r="H8" s="18" t="n">
        <v>50</v>
      </c>
      <c r="I8" s="18" t="n">
        <v>749</v>
      </c>
      <c r="J8" s="18" t="n">
        <v>149.8</v>
      </c>
      <c r="K8" s="18" t="n">
        <v>749</v>
      </c>
      <c r="L8" s="18" t="n">
        <v>149.8</v>
      </c>
      <c r="M8" s="18" t="n">
        <v>59</v>
      </c>
      <c r="N8" s="18" t="n">
        <v>11.8</v>
      </c>
      <c r="O8" s="18" t="n">
        <v>749</v>
      </c>
      <c r="P8" s="18" t="n">
        <v>149.8</v>
      </c>
      <c r="Q8" s="18" t="n">
        <v>75</v>
      </c>
      <c r="R8" s="18" t="n">
        <v>15</v>
      </c>
      <c r="S8" s="18" t="n">
        <v>75</v>
      </c>
      <c r="T8" s="18" t="n">
        <v>15</v>
      </c>
    </row>
    <row r="9">
      <c r="A9" s="17" t="inlineStr">
        <is>
          <t>Cardiology</t>
        </is>
      </c>
      <c r="B9" s="17" t="inlineStr">
        <is>
          <t>Event Monitor Review</t>
        </is>
      </c>
      <c r="C9" s="17" t="inlineStr">
        <is>
          <t>Hidden</t>
        </is>
      </c>
      <c r="D9" s="17" t="inlineStr">
        <is>
          <t>T2 - Imaging / advanced diagnostic</t>
        </is>
      </c>
      <c r="E9" s="18" t="n">
        <v>200</v>
      </c>
      <c r="F9" s="18" t="n">
        <v>40</v>
      </c>
      <c r="G9" s="18" t="n">
        <v>250</v>
      </c>
      <c r="H9" s="18" t="n">
        <v>50</v>
      </c>
      <c r="I9" s="18" t="n">
        <v>749</v>
      </c>
      <c r="J9" s="18" t="n">
        <v>149.8</v>
      </c>
      <c r="K9" s="18" t="n">
        <v>749</v>
      </c>
      <c r="L9" s="18" t="n">
        <v>149.8</v>
      </c>
      <c r="M9" s="18" t="n">
        <v>59</v>
      </c>
      <c r="N9" s="18" t="n">
        <v>11.8</v>
      </c>
      <c r="O9" s="18" t="n">
        <v>749</v>
      </c>
      <c r="P9" s="18" t="n">
        <v>149.8</v>
      </c>
      <c r="Q9" s="18" t="n">
        <v>75</v>
      </c>
      <c r="R9" s="18" t="n">
        <v>15</v>
      </c>
      <c r="S9" s="18" t="n">
        <v>75</v>
      </c>
      <c r="T9" s="18" t="n">
        <v>15</v>
      </c>
    </row>
    <row r="10">
      <c r="A10" s="17" t="inlineStr">
        <is>
          <t>Cardiology</t>
        </is>
      </c>
      <c r="B10" s="17" t="inlineStr">
        <is>
          <t>Holter Monitor (24-72h) Review</t>
        </is>
      </c>
      <c r="C10" s="17" t="inlineStr">
        <is>
          <t>Yes</t>
        </is>
      </c>
      <c r="D10" s="17" t="inlineStr">
        <is>
          <t>T2 - Imaging / advanced diagnostic</t>
        </is>
      </c>
      <c r="E10" s="18" t="n">
        <v>200</v>
      </c>
      <c r="F10" s="18" t="n">
        <v>40</v>
      </c>
      <c r="G10" s="18" t="n">
        <v>250</v>
      </c>
      <c r="H10" s="18" t="n">
        <v>50</v>
      </c>
      <c r="I10" s="18" t="n">
        <v>749</v>
      </c>
      <c r="J10" s="18" t="n">
        <v>149.8</v>
      </c>
      <c r="K10" s="18" t="n">
        <v>749</v>
      </c>
      <c r="L10" s="18" t="n">
        <v>149.8</v>
      </c>
      <c r="M10" s="18" t="n">
        <v>59</v>
      </c>
      <c r="N10" s="18" t="n">
        <v>11.8</v>
      </c>
      <c r="O10" s="18" t="n">
        <v>749</v>
      </c>
      <c r="P10" s="18" t="n">
        <v>149.8</v>
      </c>
      <c r="Q10" s="18" t="n">
        <v>75</v>
      </c>
      <c r="R10" s="18" t="n">
        <v>15</v>
      </c>
      <c r="S10" s="18" t="n">
        <v>75</v>
      </c>
      <c r="T10" s="18" t="n">
        <v>15</v>
      </c>
    </row>
    <row r="11">
      <c r="A11" s="17" t="inlineStr">
        <is>
          <t>Cardiology</t>
        </is>
      </c>
      <c r="B11" s="17" t="inlineStr">
        <is>
          <t>Pre-Op Cardiac Clearance</t>
        </is>
      </c>
      <c r="C11" s="17" t="inlineStr">
        <is>
          <t>Hidden</t>
        </is>
      </c>
      <c r="D11" s="17" t="inlineStr">
        <is>
          <t>T5 - Pre-op / oncology-grade</t>
        </is>
      </c>
      <c r="E11" s="18" t="n">
        <v>550</v>
      </c>
      <c r="F11" s="18" t="n">
        <v>110</v>
      </c>
      <c r="G11" s="18" t="n">
        <v>600</v>
      </c>
      <c r="H11" s="18" t="n">
        <v>120</v>
      </c>
      <c r="I11" s="18" t="n">
        <v>1899</v>
      </c>
      <c r="J11" s="18" t="n">
        <v>379.8</v>
      </c>
      <c r="K11" s="18" t="n">
        <v>1899</v>
      </c>
      <c r="L11" s="18" t="n">
        <v>379.8</v>
      </c>
      <c r="M11" s="18" t="n">
        <v>149</v>
      </c>
      <c r="N11" s="18" t="n">
        <v>29.8</v>
      </c>
      <c r="O11" s="18" t="n">
        <v>1899</v>
      </c>
      <c r="P11" s="18" t="n">
        <v>379.8</v>
      </c>
      <c r="Q11" s="18" t="n">
        <v>189</v>
      </c>
      <c r="R11" s="18" t="n">
        <v>37.8</v>
      </c>
      <c r="S11" s="18" t="n">
        <v>189</v>
      </c>
      <c r="T11" s="18" t="n">
        <v>37.8</v>
      </c>
    </row>
    <row r="12">
      <c r="A12" s="17" t="inlineStr">
        <is>
          <t>Cardiology</t>
        </is>
      </c>
      <c r="B12" s="17" t="inlineStr">
        <is>
          <t>Rhythm Strip Analysis</t>
        </is>
      </c>
      <c r="C12" s="17" t="inlineStr">
        <is>
          <t>Yes</t>
        </is>
      </c>
      <c r="D12" s="17" t="inlineStr">
        <is>
          <t>T1 - Basic test / report</t>
        </is>
      </c>
      <c r="E12" s="18" t="n">
        <v>120</v>
      </c>
      <c r="F12" s="18" t="n">
        <v>24</v>
      </c>
      <c r="G12" s="18" t="n">
        <v>150</v>
      </c>
      <c r="H12" s="18" t="n">
        <v>30</v>
      </c>
      <c r="I12" s="18" t="n">
        <v>449</v>
      </c>
      <c r="J12" s="18" t="n">
        <v>89.8</v>
      </c>
      <c r="K12" s="18" t="n">
        <v>449</v>
      </c>
      <c r="L12" s="18" t="n">
        <v>89.8</v>
      </c>
      <c r="M12" s="18" t="n">
        <v>35</v>
      </c>
      <c r="N12" s="18" t="n">
        <v>7</v>
      </c>
      <c r="O12" s="18" t="n">
        <v>449</v>
      </c>
      <c r="P12" s="18" t="n">
        <v>89.8</v>
      </c>
      <c r="Q12" s="18" t="n">
        <v>45</v>
      </c>
      <c r="R12" s="18" t="n">
        <v>9</v>
      </c>
      <c r="S12" s="18" t="n">
        <v>45</v>
      </c>
      <c r="T12" s="18" t="n">
        <v>9</v>
      </c>
    </row>
    <row r="13">
      <c r="A13" s="17" t="inlineStr">
        <is>
          <t>Cardiology</t>
        </is>
      </c>
      <c r="B13" s="17" t="inlineStr">
        <is>
          <t>Stress Echo Review</t>
        </is>
      </c>
      <c r="C13" s="17" t="inlineStr">
        <is>
          <t>Yes</t>
        </is>
      </c>
      <c r="D13" s="17" t="inlineStr">
        <is>
          <t>T2 - Imaging / advanced diagnostic</t>
        </is>
      </c>
      <c r="E13" s="18" t="n">
        <v>200</v>
      </c>
      <c r="F13" s="18" t="n">
        <v>40</v>
      </c>
      <c r="G13" s="18" t="n">
        <v>250</v>
      </c>
      <c r="H13" s="18" t="n">
        <v>50</v>
      </c>
      <c r="I13" s="18" t="n">
        <v>749</v>
      </c>
      <c r="J13" s="18" t="n">
        <v>149.8</v>
      </c>
      <c r="K13" s="18" t="n">
        <v>749</v>
      </c>
      <c r="L13" s="18" t="n">
        <v>149.8</v>
      </c>
      <c r="M13" s="18" t="n">
        <v>59</v>
      </c>
      <c r="N13" s="18" t="n">
        <v>11.8</v>
      </c>
      <c r="O13" s="18" t="n">
        <v>749</v>
      </c>
      <c r="P13" s="18" t="n">
        <v>149.8</v>
      </c>
      <c r="Q13" s="18" t="n">
        <v>75</v>
      </c>
      <c r="R13" s="18" t="n">
        <v>15</v>
      </c>
      <c r="S13" s="18" t="n">
        <v>75</v>
      </c>
      <c r="T13" s="18" t="n">
        <v>15</v>
      </c>
    </row>
    <row r="14">
      <c r="A14" s="17" t="inlineStr">
        <is>
          <t>Cardiology</t>
        </is>
      </c>
      <c r="B14" s="17" t="inlineStr">
        <is>
          <t>Stress Treadmill Test Review</t>
        </is>
      </c>
      <c r="C14" s="17" t="inlineStr">
        <is>
          <t>Yes</t>
        </is>
      </c>
      <c r="D14" s="17" t="inlineStr">
        <is>
          <t>T2 - Imaging / advanced diagnostic</t>
        </is>
      </c>
      <c r="E14" s="18" t="n">
        <v>200</v>
      </c>
      <c r="F14" s="18" t="n">
        <v>40</v>
      </c>
      <c r="G14" s="18" t="n">
        <v>250</v>
      </c>
      <c r="H14" s="18" t="n">
        <v>50</v>
      </c>
      <c r="I14" s="18" t="n">
        <v>749</v>
      </c>
      <c r="J14" s="18" t="n">
        <v>149.8</v>
      </c>
      <c r="K14" s="18" t="n">
        <v>749</v>
      </c>
      <c r="L14" s="18" t="n">
        <v>149.8</v>
      </c>
      <c r="M14" s="18" t="n">
        <v>59</v>
      </c>
      <c r="N14" s="18" t="n">
        <v>11.8</v>
      </c>
      <c r="O14" s="18" t="n">
        <v>749</v>
      </c>
      <c r="P14" s="18" t="n">
        <v>149.8</v>
      </c>
      <c r="Q14" s="18" t="n">
        <v>75</v>
      </c>
      <c r="R14" s="18" t="n">
        <v>15</v>
      </c>
      <c r="S14" s="18" t="n">
        <v>75</v>
      </c>
      <c r="T14" s="18" t="n">
        <v>15</v>
      </c>
    </row>
    <row r="15">
      <c r="A15" s="17" t="inlineStr">
        <is>
          <t>Cardiothoracic Surgery</t>
        </is>
      </c>
      <c r="B15" s="17" t="inlineStr">
        <is>
          <t>Cardiothoracic Surgery Consultation</t>
        </is>
      </c>
      <c r="C15" s="17" t="inlineStr">
        <is>
          <t>Yes</t>
        </is>
      </c>
      <c r="D15" s="17" t="inlineStr">
        <is>
          <t>T3 - Complex / procedure / management</t>
        </is>
      </c>
      <c r="E15" s="18" t="n">
        <v>350</v>
      </c>
      <c r="F15" s="18" t="n">
        <v>70</v>
      </c>
      <c r="G15" s="18" t="n">
        <v>400</v>
      </c>
      <c r="H15" s="18" t="n">
        <v>80</v>
      </c>
      <c r="I15" s="18" t="n">
        <v>1199</v>
      </c>
      <c r="J15" s="18" t="n">
        <v>239.8</v>
      </c>
      <c r="K15" s="18" t="n">
        <v>1199</v>
      </c>
      <c r="L15" s="18" t="n">
        <v>239.8</v>
      </c>
      <c r="M15" s="18" t="n">
        <v>95</v>
      </c>
      <c r="N15" s="18" t="n">
        <v>19</v>
      </c>
      <c r="O15" s="18" t="n">
        <v>1199</v>
      </c>
      <c r="P15" s="18" t="n">
        <v>239.8</v>
      </c>
      <c r="Q15" s="18" t="n">
        <v>119</v>
      </c>
      <c r="R15" s="18" t="n">
        <v>23.8</v>
      </c>
      <c r="S15" s="18" t="n">
        <v>119</v>
      </c>
      <c r="T15" s="18" t="n">
        <v>23.8</v>
      </c>
    </row>
    <row r="16">
      <c r="A16" s="17" t="inlineStr">
        <is>
          <t>Clinical Nutrition</t>
        </is>
      </c>
      <c r="B16" s="17" t="inlineStr">
        <is>
          <t>Clinical Nutrition Consultation</t>
        </is>
      </c>
      <c r="C16" s="17" t="inlineStr">
        <is>
          <t>Yes</t>
        </is>
      </c>
      <c r="D16" s="17" t="inlineStr">
        <is>
          <t>T3 - Complex / procedure / management</t>
        </is>
      </c>
      <c r="E16" s="18" t="n">
        <v>350</v>
      </c>
      <c r="F16" s="18" t="n">
        <v>70</v>
      </c>
      <c r="G16" s="18" t="n">
        <v>400</v>
      </c>
      <c r="H16" s="18" t="n">
        <v>80</v>
      </c>
      <c r="I16" s="18" t="n">
        <v>1199</v>
      </c>
      <c r="J16" s="18" t="n">
        <v>239.8</v>
      </c>
      <c r="K16" s="18" t="n">
        <v>1199</v>
      </c>
      <c r="L16" s="18" t="n">
        <v>239.8</v>
      </c>
      <c r="M16" s="18" t="n">
        <v>95</v>
      </c>
      <c r="N16" s="18" t="n">
        <v>19</v>
      </c>
      <c r="O16" s="18" t="n">
        <v>1199</v>
      </c>
      <c r="P16" s="18" t="n">
        <v>239.8</v>
      </c>
      <c r="Q16" s="18" t="n">
        <v>119</v>
      </c>
      <c r="R16" s="18" t="n">
        <v>23.8</v>
      </c>
      <c r="S16" s="18" t="n">
        <v>119</v>
      </c>
      <c r="T16" s="18" t="n">
        <v>23.8</v>
      </c>
    </row>
    <row r="17">
      <c r="A17" s="17" t="inlineStr">
        <is>
          <t>Dermatology</t>
        </is>
      </c>
      <c r="B17" s="17" t="inlineStr">
        <is>
          <t>Autoimmune Skin Panel Review</t>
        </is>
      </c>
      <c r="C17" s="17" t="inlineStr">
        <is>
          <t>Yes</t>
        </is>
      </c>
      <c r="D17" s="17" t="inlineStr">
        <is>
          <t>T2 - Imaging / advanced diagnostic</t>
        </is>
      </c>
      <c r="E17" s="18" t="n">
        <v>200</v>
      </c>
      <c r="F17" s="18" t="n">
        <v>40</v>
      </c>
      <c r="G17" s="18" t="n">
        <v>250</v>
      </c>
      <c r="H17" s="18" t="n">
        <v>50</v>
      </c>
      <c r="I17" s="18" t="n">
        <v>749</v>
      </c>
      <c r="J17" s="18" t="n">
        <v>149.8</v>
      </c>
      <c r="K17" s="18" t="n">
        <v>749</v>
      </c>
      <c r="L17" s="18" t="n">
        <v>149.8</v>
      </c>
      <c r="M17" s="18" t="n">
        <v>59</v>
      </c>
      <c r="N17" s="18" t="n">
        <v>11.8</v>
      </c>
      <c r="O17" s="18" t="n">
        <v>749</v>
      </c>
      <c r="P17" s="18" t="n">
        <v>149.8</v>
      </c>
      <c r="Q17" s="18" t="n">
        <v>75</v>
      </c>
      <c r="R17" s="18" t="n">
        <v>15</v>
      </c>
      <c r="S17" s="18" t="n">
        <v>75</v>
      </c>
      <c r="T17" s="18" t="n">
        <v>15</v>
      </c>
    </row>
    <row r="18">
      <c r="A18" s="17" t="inlineStr">
        <is>
          <t>Dermatology</t>
        </is>
      </c>
      <c r="B18" s="17" t="inlineStr">
        <is>
          <t>Chronic Wound Review</t>
        </is>
      </c>
      <c r="C18" s="17" t="inlineStr">
        <is>
          <t>Yes</t>
        </is>
      </c>
      <c r="D18" s="17" t="inlineStr">
        <is>
          <t>T2 - Imaging / advanced diagnostic</t>
        </is>
      </c>
      <c r="E18" s="18" t="n">
        <v>200</v>
      </c>
      <c r="F18" s="18" t="n">
        <v>40</v>
      </c>
      <c r="G18" s="18" t="n">
        <v>250</v>
      </c>
      <c r="H18" s="18" t="n">
        <v>50</v>
      </c>
      <c r="I18" s="18" t="n">
        <v>749</v>
      </c>
      <c r="J18" s="18" t="n">
        <v>149.8</v>
      </c>
      <c r="K18" s="18" t="n">
        <v>749</v>
      </c>
      <c r="L18" s="18" t="n">
        <v>149.8</v>
      </c>
      <c r="M18" s="18" t="n">
        <v>59</v>
      </c>
      <c r="N18" s="18" t="n">
        <v>11.8</v>
      </c>
      <c r="O18" s="18" t="n">
        <v>749</v>
      </c>
      <c r="P18" s="18" t="n">
        <v>149.8</v>
      </c>
      <c r="Q18" s="18" t="n">
        <v>75</v>
      </c>
      <c r="R18" s="18" t="n">
        <v>15</v>
      </c>
      <c r="S18" s="18" t="n">
        <v>75</v>
      </c>
      <c r="T18" s="18" t="n">
        <v>15</v>
      </c>
    </row>
    <row r="19">
      <c r="A19" s="17" t="inlineStr">
        <is>
          <t>Dermatology</t>
        </is>
      </c>
      <c r="B19" s="17" t="inlineStr">
        <is>
          <t>Clinical Photo Review</t>
        </is>
      </c>
      <c r="C19" s="17" t="inlineStr">
        <is>
          <t>Yes</t>
        </is>
      </c>
      <c r="D19" s="17" t="inlineStr">
        <is>
          <t>T1 - Basic test / report</t>
        </is>
      </c>
      <c r="E19" s="18" t="n">
        <v>120</v>
      </c>
      <c r="F19" s="18" t="n">
        <v>24</v>
      </c>
      <c r="G19" s="18" t="n">
        <v>150</v>
      </c>
      <c r="H19" s="18" t="n">
        <v>30</v>
      </c>
      <c r="I19" s="18" t="n">
        <v>449</v>
      </c>
      <c r="J19" s="18" t="n">
        <v>89.8</v>
      </c>
      <c r="K19" s="18" t="n">
        <v>449</v>
      </c>
      <c r="L19" s="18" t="n">
        <v>89.8</v>
      </c>
      <c r="M19" s="18" t="n">
        <v>35</v>
      </c>
      <c r="N19" s="18" t="n">
        <v>7</v>
      </c>
      <c r="O19" s="18" t="n">
        <v>449</v>
      </c>
      <c r="P19" s="18" t="n">
        <v>89.8</v>
      </c>
      <c r="Q19" s="18" t="n">
        <v>45</v>
      </c>
      <c r="R19" s="18" t="n">
        <v>9</v>
      </c>
      <c r="S19" s="18" t="n">
        <v>45</v>
      </c>
      <c r="T19" s="18" t="n">
        <v>9</v>
      </c>
    </row>
    <row r="20">
      <c r="A20" s="17" t="inlineStr">
        <is>
          <t>Dermatology</t>
        </is>
      </c>
      <c r="B20" s="17" t="inlineStr">
        <is>
          <t>Dermoscopy Review</t>
        </is>
      </c>
      <c r="C20" s="17" t="inlineStr">
        <is>
          <t>Yes</t>
        </is>
      </c>
      <c r="D20" s="17" t="inlineStr">
        <is>
          <t>T2 - Imaging / advanced diagnostic</t>
        </is>
      </c>
      <c r="E20" s="18" t="n">
        <v>200</v>
      </c>
      <c r="F20" s="18" t="n">
        <v>40</v>
      </c>
      <c r="G20" s="18" t="n">
        <v>250</v>
      </c>
      <c r="H20" s="18" t="n">
        <v>50</v>
      </c>
      <c r="I20" s="18" t="n">
        <v>749</v>
      </c>
      <c r="J20" s="18" t="n">
        <v>149.8</v>
      </c>
      <c r="K20" s="18" t="n">
        <v>749</v>
      </c>
      <c r="L20" s="18" t="n">
        <v>149.8</v>
      </c>
      <c r="M20" s="18" t="n">
        <v>59</v>
      </c>
      <c r="N20" s="18" t="n">
        <v>11.8</v>
      </c>
      <c r="O20" s="18" t="n">
        <v>749</v>
      </c>
      <c r="P20" s="18" t="n">
        <v>149.8</v>
      </c>
      <c r="Q20" s="18" t="n">
        <v>75</v>
      </c>
      <c r="R20" s="18" t="n">
        <v>15</v>
      </c>
      <c r="S20" s="18" t="n">
        <v>75</v>
      </c>
      <c r="T20" s="18" t="n">
        <v>15</v>
      </c>
    </row>
    <row r="21">
      <c r="A21" s="17" t="inlineStr">
        <is>
          <t>Dermatology</t>
        </is>
      </c>
      <c r="B21" s="17" t="inlineStr">
        <is>
          <t>Hair Loss Workup Review</t>
        </is>
      </c>
      <c r="C21" s="17" t="inlineStr">
        <is>
          <t>Yes</t>
        </is>
      </c>
      <c r="D21" s="17" t="inlineStr">
        <is>
          <t>T3 - Complex / procedure / management</t>
        </is>
      </c>
      <c r="E21" s="18" t="n">
        <v>350</v>
      </c>
      <c r="F21" s="18" t="n">
        <v>70</v>
      </c>
      <c r="G21" s="18" t="n">
        <v>400</v>
      </c>
      <c r="H21" s="18" t="n">
        <v>80</v>
      </c>
      <c r="I21" s="18" t="n">
        <v>1199</v>
      </c>
      <c r="J21" s="18" t="n">
        <v>239.8</v>
      </c>
      <c r="K21" s="18" t="n">
        <v>1199</v>
      </c>
      <c r="L21" s="18" t="n">
        <v>239.8</v>
      </c>
      <c r="M21" s="18" t="n">
        <v>95</v>
      </c>
      <c r="N21" s="18" t="n">
        <v>19</v>
      </c>
      <c r="O21" s="18" t="n">
        <v>1199</v>
      </c>
      <c r="P21" s="18" t="n">
        <v>239.8</v>
      </c>
      <c r="Q21" s="18" t="n">
        <v>119</v>
      </c>
      <c r="R21" s="18" t="n">
        <v>23.8</v>
      </c>
      <c r="S21" s="18" t="n">
        <v>119</v>
      </c>
      <c r="T21" s="18" t="n">
        <v>23.8</v>
      </c>
    </row>
    <row r="22">
      <c r="A22" s="17" t="inlineStr">
        <is>
          <t>Dermatology</t>
        </is>
      </c>
      <c r="B22" s="17" t="inlineStr">
        <is>
          <t>Patch Test Review</t>
        </is>
      </c>
      <c r="C22" s="17" t="inlineStr">
        <is>
          <t>Yes</t>
        </is>
      </c>
      <c r="D22" s="17" t="inlineStr">
        <is>
          <t>T1 - Basic test / report</t>
        </is>
      </c>
      <c r="E22" s="18" t="n">
        <v>120</v>
      </c>
      <c r="F22" s="18" t="n">
        <v>24</v>
      </c>
      <c r="G22" s="18" t="n">
        <v>150</v>
      </c>
      <c r="H22" s="18" t="n">
        <v>30</v>
      </c>
      <c r="I22" s="18" t="n">
        <v>449</v>
      </c>
      <c r="J22" s="18" t="n">
        <v>89.8</v>
      </c>
      <c r="K22" s="18" t="n">
        <v>449</v>
      </c>
      <c r="L22" s="18" t="n">
        <v>89.8</v>
      </c>
      <c r="M22" s="18" t="n">
        <v>35</v>
      </c>
      <c r="N22" s="18" t="n">
        <v>7</v>
      </c>
      <c r="O22" s="18" t="n">
        <v>449</v>
      </c>
      <c r="P22" s="18" t="n">
        <v>89.8</v>
      </c>
      <c r="Q22" s="18" t="n">
        <v>45</v>
      </c>
      <c r="R22" s="18" t="n">
        <v>9</v>
      </c>
      <c r="S22" s="18" t="n">
        <v>45</v>
      </c>
      <c r="T22" s="18" t="n">
        <v>9</v>
      </c>
    </row>
    <row r="23">
      <c r="A23" s="17" t="inlineStr">
        <is>
          <t>Dermatology</t>
        </is>
      </c>
      <c r="B23" s="17" t="inlineStr">
        <is>
          <t>Psoriasis Management Review</t>
        </is>
      </c>
      <c r="C23" s="17" t="inlineStr">
        <is>
          <t>Yes</t>
        </is>
      </c>
      <c r="D23" s="17" t="inlineStr">
        <is>
          <t>T3 - Complex / procedure / management</t>
        </is>
      </c>
      <c r="E23" s="18" t="n">
        <v>350</v>
      </c>
      <c r="F23" s="18" t="n">
        <v>70</v>
      </c>
      <c r="G23" s="18" t="n">
        <v>400</v>
      </c>
      <c r="H23" s="18" t="n">
        <v>80</v>
      </c>
      <c r="I23" s="18" t="n">
        <v>1199</v>
      </c>
      <c r="J23" s="18" t="n">
        <v>239.8</v>
      </c>
      <c r="K23" s="18" t="n">
        <v>1199</v>
      </c>
      <c r="L23" s="18" t="n">
        <v>239.8</v>
      </c>
      <c r="M23" s="18" t="n">
        <v>95</v>
      </c>
      <c r="N23" s="18" t="n">
        <v>19</v>
      </c>
      <c r="O23" s="18" t="n">
        <v>1199</v>
      </c>
      <c r="P23" s="18" t="n">
        <v>239.8</v>
      </c>
      <c r="Q23" s="18" t="n">
        <v>119</v>
      </c>
      <c r="R23" s="18" t="n">
        <v>23.8</v>
      </c>
      <c r="S23" s="18" t="n">
        <v>119</v>
      </c>
      <c r="T23" s="18" t="n">
        <v>23.8</v>
      </c>
    </row>
    <row r="24">
      <c r="A24" s="17" t="inlineStr">
        <is>
          <t>Dermatology</t>
        </is>
      </c>
      <c r="B24" s="17" t="inlineStr">
        <is>
          <t>Skin Biopsy Report Review</t>
        </is>
      </c>
      <c r="C24" s="17" t="inlineStr">
        <is>
          <t>Yes</t>
        </is>
      </c>
      <c r="D24" s="17" t="inlineStr">
        <is>
          <t>T3 - Complex / procedure / management</t>
        </is>
      </c>
      <c r="E24" s="18" t="n">
        <v>350</v>
      </c>
      <c r="F24" s="18" t="n">
        <v>70</v>
      </c>
      <c r="G24" s="18" t="n">
        <v>400</v>
      </c>
      <c r="H24" s="18" t="n">
        <v>80</v>
      </c>
      <c r="I24" s="18" t="n">
        <v>1199</v>
      </c>
      <c r="J24" s="18" t="n">
        <v>239.8</v>
      </c>
      <c r="K24" s="18" t="n">
        <v>1199</v>
      </c>
      <c r="L24" s="18" t="n">
        <v>239.8</v>
      </c>
      <c r="M24" s="18" t="n">
        <v>95</v>
      </c>
      <c r="N24" s="18" t="n">
        <v>19</v>
      </c>
      <c r="O24" s="18" t="n">
        <v>1199</v>
      </c>
      <c r="P24" s="18" t="n">
        <v>239.8</v>
      </c>
      <c r="Q24" s="18" t="n">
        <v>119</v>
      </c>
      <c r="R24" s="18" t="n">
        <v>23.8</v>
      </c>
      <c r="S24" s="18" t="n">
        <v>119</v>
      </c>
      <c r="T24" s="18" t="n">
        <v>23.8</v>
      </c>
    </row>
    <row r="25">
      <c r="A25" s="17" t="inlineStr">
        <is>
          <t>Emergency Medicine</t>
        </is>
      </c>
      <c r="B25" s="17" t="inlineStr">
        <is>
          <t>Emergency Medicine Consultation</t>
        </is>
      </c>
      <c r="C25" s="17" t="inlineStr">
        <is>
          <t>Yes</t>
        </is>
      </c>
      <c r="D25" s="17" t="inlineStr">
        <is>
          <t>T3 - Complex / procedure / management</t>
        </is>
      </c>
      <c r="E25" s="18" t="n">
        <v>350</v>
      </c>
      <c r="F25" s="18" t="n">
        <v>70</v>
      </c>
      <c r="G25" s="18" t="n">
        <v>400</v>
      </c>
      <c r="H25" s="18" t="n">
        <v>80</v>
      </c>
      <c r="I25" s="18" t="n">
        <v>1199</v>
      </c>
      <c r="J25" s="18" t="n">
        <v>239.8</v>
      </c>
      <c r="K25" s="18" t="n">
        <v>1199</v>
      </c>
      <c r="L25" s="18" t="n">
        <v>239.8</v>
      </c>
      <c r="M25" s="18" t="n">
        <v>95</v>
      </c>
      <c r="N25" s="18" t="n">
        <v>19</v>
      </c>
      <c r="O25" s="18" t="n">
        <v>1199</v>
      </c>
      <c r="P25" s="18" t="n">
        <v>239.8</v>
      </c>
      <c r="Q25" s="18" t="n">
        <v>119</v>
      </c>
      <c r="R25" s="18" t="n">
        <v>23.8</v>
      </c>
      <c r="S25" s="18" t="n">
        <v>119</v>
      </c>
      <c r="T25" s="18" t="n">
        <v>23.8</v>
      </c>
    </row>
    <row r="26">
      <c r="A26" s="17" t="inlineStr">
        <is>
          <t>Endocrinology</t>
        </is>
      </c>
      <c r="B26" s="17" t="inlineStr">
        <is>
          <t>Adrenal Workup Review</t>
        </is>
      </c>
      <c r="C26" s="17" t="inlineStr">
        <is>
          <t>Yes</t>
        </is>
      </c>
      <c r="D26" s="17" t="inlineStr">
        <is>
          <t>T3 - Complex / procedure / management</t>
        </is>
      </c>
      <c r="E26" s="18" t="n">
        <v>350</v>
      </c>
      <c r="F26" s="18" t="n">
        <v>70</v>
      </c>
      <c r="G26" s="18" t="n">
        <v>400</v>
      </c>
      <c r="H26" s="18" t="n">
        <v>80</v>
      </c>
      <c r="I26" s="18" t="n">
        <v>1199</v>
      </c>
      <c r="J26" s="18" t="n">
        <v>239.8</v>
      </c>
      <c r="K26" s="18" t="n">
        <v>1199</v>
      </c>
      <c r="L26" s="18" t="n">
        <v>239.8</v>
      </c>
      <c r="M26" s="18" t="n">
        <v>95</v>
      </c>
      <c r="N26" s="18" t="n">
        <v>19</v>
      </c>
      <c r="O26" s="18" t="n">
        <v>1199</v>
      </c>
      <c r="P26" s="18" t="n">
        <v>239.8</v>
      </c>
      <c r="Q26" s="18" t="n">
        <v>119</v>
      </c>
      <c r="R26" s="18" t="n">
        <v>23.8</v>
      </c>
      <c r="S26" s="18" t="n">
        <v>119</v>
      </c>
      <c r="T26" s="18" t="n">
        <v>23.8</v>
      </c>
    </row>
    <row r="27">
      <c r="A27" s="17" t="inlineStr">
        <is>
          <t>Endocrinology</t>
        </is>
      </c>
      <c r="B27" s="17" t="inlineStr">
        <is>
          <t>Diabetes Management Review</t>
        </is>
      </c>
      <c r="C27" s="17" t="inlineStr">
        <is>
          <t>Yes</t>
        </is>
      </c>
      <c r="D27" s="17" t="inlineStr">
        <is>
          <t>T3 - Complex / procedure / management</t>
        </is>
      </c>
      <c r="E27" s="18" t="n">
        <v>350</v>
      </c>
      <c r="F27" s="18" t="n">
        <v>70</v>
      </c>
      <c r="G27" s="18" t="n">
        <v>400</v>
      </c>
      <c r="H27" s="18" t="n">
        <v>80</v>
      </c>
      <c r="I27" s="18" t="n">
        <v>1199</v>
      </c>
      <c r="J27" s="18" t="n">
        <v>239.8</v>
      </c>
      <c r="K27" s="18" t="n">
        <v>1199</v>
      </c>
      <c r="L27" s="18" t="n">
        <v>239.8</v>
      </c>
      <c r="M27" s="18" t="n">
        <v>95</v>
      </c>
      <c r="N27" s="18" t="n">
        <v>19</v>
      </c>
      <c r="O27" s="18" t="n">
        <v>1199</v>
      </c>
      <c r="P27" s="18" t="n">
        <v>239.8</v>
      </c>
      <c r="Q27" s="18" t="n">
        <v>119</v>
      </c>
      <c r="R27" s="18" t="n">
        <v>23.8</v>
      </c>
      <c r="S27" s="18" t="n">
        <v>119</v>
      </c>
      <c r="T27" s="18" t="n">
        <v>23.8</v>
      </c>
    </row>
    <row r="28">
      <c r="A28" s="17" t="inlineStr">
        <is>
          <t>Endocrinology</t>
        </is>
      </c>
      <c r="B28" s="17" t="inlineStr">
        <is>
          <t>Full Thyroid Panel Review</t>
        </is>
      </c>
      <c r="C28" s="17" t="inlineStr">
        <is>
          <t>Yes</t>
        </is>
      </c>
      <c r="D28" s="17" t="inlineStr">
        <is>
          <t>T2 - Imaging / advanced diagnostic</t>
        </is>
      </c>
      <c r="E28" s="18" t="n">
        <v>200</v>
      </c>
      <c r="F28" s="18" t="n">
        <v>40</v>
      </c>
      <c r="G28" s="18" t="n">
        <v>250</v>
      </c>
      <c r="H28" s="18" t="n">
        <v>50</v>
      </c>
      <c r="I28" s="18" t="n">
        <v>749</v>
      </c>
      <c r="J28" s="18" t="n">
        <v>149.8</v>
      </c>
      <c r="K28" s="18" t="n">
        <v>749</v>
      </c>
      <c r="L28" s="18" t="n">
        <v>149.8</v>
      </c>
      <c r="M28" s="18" t="n">
        <v>59</v>
      </c>
      <c r="N28" s="18" t="n">
        <v>11.8</v>
      </c>
      <c r="O28" s="18" t="n">
        <v>749</v>
      </c>
      <c r="P28" s="18" t="n">
        <v>149.8</v>
      </c>
      <c r="Q28" s="18" t="n">
        <v>75</v>
      </c>
      <c r="R28" s="18" t="n">
        <v>15</v>
      </c>
      <c r="S28" s="18" t="n">
        <v>75</v>
      </c>
      <c r="T28" s="18" t="n">
        <v>15</v>
      </c>
    </row>
    <row r="29">
      <c r="A29" s="17" t="inlineStr">
        <is>
          <t>Endocrinology</t>
        </is>
      </c>
      <c r="B29" s="17" t="inlineStr">
        <is>
          <t>Growth Hormone Panel Review</t>
        </is>
      </c>
      <c r="C29" s="17" t="inlineStr">
        <is>
          <t>Yes</t>
        </is>
      </c>
      <c r="D29" s="17" t="inlineStr">
        <is>
          <t>T2 - Imaging / advanced diagnostic</t>
        </is>
      </c>
      <c r="E29" s="18" t="n">
        <v>200</v>
      </c>
      <c r="F29" s="18" t="n">
        <v>40</v>
      </c>
      <c r="G29" s="18" t="n">
        <v>250</v>
      </c>
      <c r="H29" s="18" t="n">
        <v>50</v>
      </c>
      <c r="I29" s="18" t="n">
        <v>749</v>
      </c>
      <c r="J29" s="18" t="n">
        <v>149.8</v>
      </c>
      <c r="K29" s="18" t="n">
        <v>749</v>
      </c>
      <c r="L29" s="18" t="n">
        <v>149.8</v>
      </c>
      <c r="M29" s="18" t="n">
        <v>59</v>
      </c>
      <c r="N29" s="18" t="n">
        <v>11.8</v>
      </c>
      <c r="O29" s="18" t="n">
        <v>749</v>
      </c>
      <c r="P29" s="18" t="n">
        <v>149.8</v>
      </c>
      <c r="Q29" s="18" t="n">
        <v>75</v>
      </c>
      <c r="R29" s="18" t="n">
        <v>15</v>
      </c>
      <c r="S29" s="18" t="n">
        <v>75</v>
      </c>
      <c r="T29" s="18" t="n">
        <v>15</v>
      </c>
    </row>
    <row r="30">
      <c r="A30" s="17" t="inlineStr">
        <is>
          <t>Endocrinology</t>
        </is>
      </c>
      <c r="B30" s="17" t="inlineStr">
        <is>
          <t>Lipid Disorder Management</t>
        </is>
      </c>
      <c r="C30" s="17" t="inlineStr">
        <is>
          <t>Yes</t>
        </is>
      </c>
      <c r="D30" s="17" t="inlineStr">
        <is>
          <t>T3 - Complex / procedure / management</t>
        </is>
      </c>
      <c r="E30" s="18" t="n">
        <v>350</v>
      </c>
      <c r="F30" s="18" t="n">
        <v>70</v>
      </c>
      <c r="G30" s="18" t="n">
        <v>400</v>
      </c>
      <c r="H30" s="18" t="n">
        <v>80</v>
      </c>
      <c r="I30" s="18" t="n">
        <v>1199</v>
      </c>
      <c r="J30" s="18" t="n">
        <v>239.8</v>
      </c>
      <c r="K30" s="18" t="n">
        <v>1199</v>
      </c>
      <c r="L30" s="18" t="n">
        <v>239.8</v>
      </c>
      <c r="M30" s="18" t="n">
        <v>95</v>
      </c>
      <c r="N30" s="18" t="n">
        <v>19</v>
      </c>
      <c r="O30" s="18" t="n">
        <v>1199</v>
      </c>
      <c r="P30" s="18" t="n">
        <v>239.8</v>
      </c>
      <c r="Q30" s="18" t="n">
        <v>119</v>
      </c>
      <c r="R30" s="18" t="n">
        <v>23.8</v>
      </c>
      <c r="S30" s="18" t="n">
        <v>119</v>
      </c>
      <c r="T30" s="18" t="n">
        <v>23.8</v>
      </c>
    </row>
    <row r="31">
      <c r="A31" s="17" t="inlineStr">
        <is>
          <t>Endocrinology</t>
        </is>
      </c>
      <c r="B31" s="17" t="inlineStr">
        <is>
          <t>Obesity/Metabolic Review</t>
        </is>
      </c>
      <c r="C31" s="17" t="inlineStr">
        <is>
          <t>Yes</t>
        </is>
      </c>
      <c r="D31" s="17" t="inlineStr">
        <is>
          <t>T2 - Imaging / advanced diagnostic</t>
        </is>
      </c>
      <c r="E31" s="18" t="n">
        <v>200</v>
      </c>
      <c r="F31" s="18" t="n">
        <v>40</v>
      </c>
      <c r="G31" s="18" t="n">
        <v>250</v>
      </c>
      <c r="H31" s="18" t="n">
        <v>50</v>
      </c>
      <c r="I31" s="18" t="n">
        <v>749</v>
      </c>
      <c r="J31" s="18" t="n">
        <v>149.8</v>
      </c>
      <c r="K31" s="18" t="n">
        <v>749</v>
      </c>
      <c r="L31" s="18" t="n">
        <v>149.8</v>
      </c>
      <c r="M31" s="18" t="n">
        <v>59</v>
      </c>
      <c r="N31" s="18" t="n">
        <v>11.8</v>
      </c>
      <c r="O31" s="18" t="n">
        <v>749</v>
      </c>
      <c r="P31" s="18" t="n">
        <v>149.8</v>
      </c>
      <c r="Q31" s="18" t="n">
        <v>75</v>
      </c>
      <c r="R31" s="18" t="n">
        <v>15</v>
      </c>
      <c r="S31" s="18" t="n">
        <v>75</v>
      </c>
      <c r="T31" s="18" t="n">
        <v>15</v>
      </c>
    </row>
    <row r="32">
      <c r="A32" s="17" t="inlineStr">
        <is>
          <t>Endocrinology</t>
        </is>
      </c>
      <c r="B32" s="17" t="inlineStr">
        <is>
          <t>Osteoporosis Workup Review</t>
        </is>
      </c>
      <c r="C32" s="17" t="inlineStr">
        <is>
          <t>Yes</t>
        </is>
      </c>
      <c r="D32" s="17" t="inlineStr">
        <is>
          <t>T3 - Complex / procedure / management</t>
        </is>
      </c>
      <c r="E32" s="18" t="n">
        <v>350</v>
      </c>
      <c r="F32" s="18" t="n">
        <v>70</v>
      </c>
      <c r="G32" s="18" t="n">
        <v>400</v>
      </c>
      <c r="H32" s="18" t="n">
        <v>80</v>
      </c>
      <c r="I32" s="18" t="n">
        <v>1199</v>
      </c>
      <c r="J32" s="18" t="n">
        <v>239.8</v>
      </c>
      <c r="K32" s="18" t="n">
        <v>1199</v>
      </c>
      <c r="L32" s="18" t="n">
        <v>239.8</v>
      </c>
      <c r="M32" s="18" t="n">
        <v>95</v>
      </c>
      <c r="N32" s="18" t="n">
        <v>19</v>
      </c>
      <c r="O32" s="18" t="n">
        <v>1199</v>
      </c>
      <c r="P32" s="18" t="n">
        <v>239.8</v>
      </c>
      <c r="Q32" s="18" t="n">
        <v>119</v>
      </c>
      <c r="R32" s="18" t="n">
        <v>23.8</v>
      </c>
      <c r="S32" s="18" t="n">
        <v>119</v>
      </c>
      <c r="T32" s="18" t="n">
        <v>23.8</v>
      </c>
    </row>
    <row r="33">
      <c r="A33" s="17" t="inlineStr">
        <is>
          <t>Endocrinology</t>
        </is>
      </c>
      <c r="B33" s="17" t="inlineStr">
        <is>
          <t>PCOS Panel Review</t>
        </is>
      </c>
      <c r="C33" s="17" t="inlineStr">
        <is>
          <t>Yes</t>
        </is>
      </c>
      <c r="D33" s="17" t="inlineStr">
        <is>
          <t>T2 - Imaging / advanced diagnostic</t>
        </is>
      </c>
      <c r="E33" s="18" t="n">
        <v>200</v>
      </c>
      <c r="F33" s="18" t="n">
        <v>40</v>
      </c>
      <c r="G33" s="18" t="n">
        <v>250</v>
      </c>
      <c r="H33" s="18" t="n">
        <v>50</v>
      </c>
      <c r="I33" s="18" t="n">
        <v>749</v>
      </c>
      <c r="J33" s="18" t="n">
        <v>149.8</v>
      </c>
      <c r="K33" s="18" t="n">
        <v>749</v>
      </c>
      <c r="L33" s="18" t="n">
        <v>149.8</v>
      </c>
      <c r="M33" s="18" t="n">
        <v>59</v>
      </c>
      <c r="N33" s="18" t="n">
        <v>11.8</v>
      </c>
      <c r="O33" s="18" t="n">
        <v>749</v>
      </c>
      <c r="P33" s="18" t="n">
        <v>149.8</v>
      </c>
      <c r="Q33" s="18" t="n">
        <v>75</v>
      </c>
      <c r="R33" s="18" t="n">
        <v>15</v>
      </c>
      <c r="S33" s="18" t="n">
        <v>75</v>
      </c>
      <c r="T33" s="18" t="n">
        <v>15</v>
      </c>
    </row>
    <row r="34">
      <c r="A34" s="17" t="inlineStr">
        <is>
          <t>Endocrinology</t>
        </is>
      </c>
      <c r="B34" s="17" t="inlineStr">
        <is>
          <t>Pituitary MRI Review</t>
        </is>
      </c>
      <c r="C34" s="17" t="inlineStr">
        <is>
          <t>Yes</t>
        </is>
      </c>
      <c r="D34" s="17" t="inlineStr">
        <is>
          <t>T2 - Imaging / advanced diagnostic</t>
        </is>
      </c>
      <c r="E34" s="18" t="n">
        <v>200</v>
      </c>
      <c r="F34" s="18" t="n">
        <v>40</v>
      </c>
      <c r="G34" s="18" t="n">
        <v>250</v>
      </c>
      <c r="H34" s="18" t="n">
        <v>50</v>
      </c>
      <c r="I34" s="18" t="n">
        <v>749</v>
      </c>
      <c r="J34" s="18" t="n">
        <v>149.8</v>
      </c>
      <c r="K34" s="18" t="n">
        <v>749</v>
      </c>
      <c r="L34" s="18" t="n">
        <v>149.8</v>
      </c>
      <c r="M34" s="18" t="n">
        <v>59</v>
      </c>
      <c r="N34" s="18" t="n">
        <v>11.8</v>
      </c>
      <c r="O34" s="18" t="n">
        <v>749</v>
      </c>
      <c r="P34" s="18" t="n">
        <v>149.8</v>
      </c>
      <c r="Q34" s="18" t="n">
        <v>75</v>
      </c>
      <c r="R34" s="18" t="n">
        <v>15</v>
      </c>
      <c r="S34" s="18" t="n">
        <v>75</v>
      </c>
      <c r="T34" s="18" t="n">
        <v>15</v>
      </c>
    </row>
    <row r="35">
      <c r="A35" s="17" t="inlineStr">
        <is>
          <t>Endocrinology</t>
        </is>
      </c>
      <c r="B35" s="17" t="inlineStr">
        <is>
          <t>Thyroid Ultrasound Review</t>
        </is>
      </c>
      <c r="C35" s="17" t="inlineStr">
        <is>
          <t>Yes</t>
        </is>
      </c>
      <c r="D35" s="17" t="inlineStr">
        <is>
          <t>T1 - Basic test / report</t>
        </is>
      </c>
      <c r="E35" s="18" t="n">
        <v>120</v>
      </c>
      <c r="F35" s="18" t="n">
        <v>24</v>
      </c>
      <c r="G35" s="18" t="n">
        <v>150</v>
      </c>
      <c r="H35" s="18" t="n">
        <v>30</v>
      </c>
      <c r="I35" s="18" t="n">
        <v>449</v>
      </c>
      <c r="J35" s="18" t="n">
        <v>89.8</v>
      </c>
      <c r="K35" s="18" t="n">
        <v>449</v>
      </c>
      <c r="L35" s="18" t="n">
        <v>89.8</v>
      </c>
      <c r="M35" s="18" t="n">
        <v>35</v>
      </c>
      <c r="N35" s="18" t="n">
        <v>7</v>
      </c>
      <c r="O35" s="18" t="n">
        <v>449</v>
      </c>
      <c r="P35" s="18" t="n">
        <v>89.8</v>
      </c>
      <c r="Q35" s="18" t="n">
        <v>45</v>
      </c>
      <c r="R35" s="18" t="n">
        <v>9</v>
      </c>
      <c r="S35" s="18" t="n">
        <v>45</v>
      </c>
      <c r="T35" s="18" t="n">
        <v>9</v>
      </c>
    </row>
    <row r="36">
      <c r="A36" s="17" t="inlineStr">
        <is>
          <t>Gastroenterology</t>
        </is>
      </c>
      <c r="B36" s="17" t="inlineStr">
        <is>
          <t>Capsule Endoscopy Review</t>
        </is>
      </c>
      <c r="C36" s="17" t="inlineStr">
        <is>
          <t>Yes</t>
        </is>
      </c>
      <c r="D36" s="17" t="inlineStr">
        <is>
          <t>T3 - Complex / procedure / management</t>
        </is>
      </c>
      <c r="E36" s="18" t="n">
        <v>350</v>
      </c>
      <c r="F36" s="18" t="n">
        <v>70</v>
      </c>
      <c r="G36" s="18" t="n">
        <v>400</v>
      </c>
      <c r="H36" s="18" t="n">
        <v>80</v>
      </c>
      <c r="I36" s="18" t="n">
        <v>1199</v>
      </c>
      <c r="J36" s="18" t="n">
        <v>239.8</v>
      </c>
      <c r="K36" s="18" t="n">
        <v>1199</v>
      </c>
      <c r="L36" s="18" t="n">
        <v>239.8</v>
      </c>
      <c r="M36" s="18" t="n">
        <v>95</v>
      </c>
      <c r="N36" s="18" t="n">
        <v>19</v>
      </c>
      <c r="O36" s="18" t="n">
        <v>1199</v>
      </c>
      <c r="P36" s="18" t="n">
        <v>239.8</v>
      </c>
      <c r="Q36" s="18" t="n">
        <v>119</v>
      </c>
      <c r="R36" s="18" t="n">
        <v>23.8</v>
      </c>
      <c r="S36" s="18" t="n">
        <v>119</v>
      </c>
      <c r="T36" s="18" t="n">
        <v>23.8</v>
      </c>
    </row>
    <row r="37">
      <c r="A37" s="17" t="inlineStr">
        <is>
          <t>Gastroenterology</t>
        </is>
      </c>
      <c r="B37" s="17" t="inlineStr">
        <is>
          <t>Colonoscopy Report Review</t>
        </is>
      </c>
      <c r="C37" s="17" t="inlineStr">
        <is>
          <t>Yes</t>
        </is>
      </c>
      <c r="D37" s="17" t="inlineStr">
        <is>
          <t>T3 - Complex / procedure / management</t>
        </is>
      </c>
      <c r="E37" s="18" t="n">
        <v>350</v>
      </c>
      <c r="F37" s="18" t="n">
        <v>70</v>
      </c>
      <c r="G37" s="18" t="n">
        <v>400</v>
      </c>
      <c r="H37" s="18" t="n">
        <v>80</v>
      </c>
      <c r="I37" s="18" t="n">
        <v>1199</v>
      </c>
      <c r="J37" s="18" t="n">
        <v>239.8</v>
      </c>
      <c r="K37" s="18" t="n">
        <v>1199</v>
      </c>
      <c r="L37" s="18" t="n">
        <v>239.8</v>
      </c>
      <c r="M37" s="18" t="n">
        <v>95</v>
      </c>
      <c r="N37" s="18" t="n">
        <v>19</v>
      </c>
      <c r="O37" s="18" t="n">
        <v>1199</v>
      </c>
      <c r="P37" s="18" t="n">
        <v>239.8</v>
      </c>
      <c r="Q37" s="18" t="n">
        <v>119</v>
      </c>
      <c r="R37" s="18" t="n">
        <v>23.8</v>
      </c>
      <c r="S37" s="18" t="n">
        <v>119</v>
      </c>
      <c r="T37" s="18" t="n">
        <v>23.8</v>
      </c>
    </row>
    <row r="38">
      <c r="A38" s="17" t="inlineStr">
        <is>
          <t>Gastroenterology</t>
        </is>
      </c>
      <c r="B38" s="17" t="inlineStr">
        <is>
          <t>Endoscopy Report Review</t>
        </is>
      </c>
      <c r="C38" s="17" t="inlineStr">
        <is>
          <t>Yes</t>
        </is>
      </c>
      <c r="D38" s="17" t="inlineStr">
        <is>
          <t>T3 - Complex / procedure / management</t>
        </is>
      </c>
      <c r="E38" s="18" t="n">
        <v>350</v>
      </c>
      <c r="F38" s="18" t="n">
        <v>70</v>
      </c>
      <c r="G38" s="18" t="n">
        <v>400</v>
      </c>
      <c r="H38" s="18" t="n">
        <v>80</v>
      </c>
      <c r="I38" s="18" t="n">
        <v>1199</v>
      </c>
      <c r="J38" s="18" t="n">
        <v>239.8</v>
      </c>
      <c r="K38" s="18" t="n">
        <v>1199</v>
      </c>
      <c r="L38" s="18" t="n">
        <v>239.8</v>
      </c>
      <c r="M38" s="18" t="n">
        <v>95</v>
      </c>
      <c r="N38" s="18" t="n">
        <v>19</v>
      </c>
      <c r="O38" s="18" t="n">
        <v>1199</v>
      </c>
      <c r="P38" s="18" t="n">
        <v>239.8</v>
      </c>
      <c r="Q38" s="18" t="n">
        <v>119</v>
      </c>
      <c r="R38" s="18" t="n">
        <v>23.8</v>
      </c>
      <c r="S38" s="18" t="n">
        <v>119</v>
      </c>
      <c r="T38" s="18" t="n">
        <v>23.8</v>
      </c>
    </row>
    <row r="39">
      <c r="A39" s="17" t="inlineStr">
        <is>
          <t>Gastroenterology</t>
        </is>
      </c>
      <c r="B39" s="17" t="inlineStr">
        <is>
          <t>FibroScan/Elastography Review</t>
        </is>
      </c>
      <c r="C39" s="17" t="inlineStr">
        <is>
          <t>Yes</t>
        </is>
      </c>
      <c r="D39" s="17" t="inlineStr">
        <is>
          <t>T2 - Imaging / advanced diagnostic</t>
        </is>
      </c>
      <c r="E39" s="18" t="n">
        <v>200</v>
      </c>
      <c r="F39" s="18" t="n">
        <v>40</v>
      </c>
      <c r="G39" s="18" t="n">
        <v>250</v>
      </c>
      <c r="H39" s="18" t="n">
        <v>50</v>
      </c>
      <c r="I39" s="18" t="n">
        <v>749</v>
      </c>
      <c r="J39" s="18" t="n">
        <v>149.8</v>
      </c>
      <c r="K39" s="18" t="n">
        <v>749</v>
      </c>
      <c r="L39" s="18" t="n">
        <v>149.8</v>
      </c>
      <c r="M39" s="18" t="n">
        <v>59</v>
      </c>
      <c r="N39" s="18" t="n">
        <v>11.8</v>
      </c>
      <c r="O39" s="18" t="n">
        <v>749</v>
      </c>
      <c r="P39" s="18" t="n">
        <v>149.8</v>
      </c>
      <c r="Q39" s="18" t="n">
        <v>75</v>
      </c>
      <c r="R39" s="18" t="n">
        <v>15</v>
      </c>
      <c r="S39" s="18" t="n">
        <v>75</v>
      </c>
      <c r="T39" s="18" t="n">
        <v>15</v>
      </c>
    </row>
    <row r="40">
      <c r="A40" s="17" t="inlineStr">
        <is>
          <t>Gastroenterology</t>
        </is>
      </c>
      <c r="B40" s="17" t="inlineStr">
        <is>
          <t>Hepatitis B/C Panel Review</t>
        </is>
      </c>
      <c r="C40" s="17" t="inlineStr">
        <is>
          <t>Yes</t>
        </is>
      </c>
      <c r="D40" s="17" t="inlineStr">
        <is>
          <t>T2 - Imaging / advanced diagnostic</t>
        </is>
      </c>
      <c r="E40" s="18" t="n">
        <v>200</v>
      </c>
      <c r="F40" s="18" t="n">
        <v>40</v>
      </c>
      <c r="G40" s="18" t="n">
        <v>250</v>
      </c>
      <c r="H40" s="18" t="n">
        <v>50</v>
      </c>
      <c r="I40" s="18" t="n">
        <v>749</v>
      </c>
      <c r="J40" s="18" t="n">
        <v>149.8</v>
      </c>
      <c r="K40" s="18" t="n">
        <v>749</v>
      </c>
      <c r="L40" s="18" t="n">
        <v>149.8</v>
      </c>
      <c r="M40" s="18" t="n">
        <v>59</v>
      </c>
      <c r="N40" s="18" t="n">
        <v>11.8</v>
      </c>
      <c r="O40" s="18" t="n">
        <v>749</v>
      </c>
      <c r="P40" s="18" t="n">
        <v>149.8</v>
      </c>
      <c r="Q40" s="18" t="n">
        <v>75</v>
      </c>
      <c r="R40" s="18" t="n">
        <v>15</v>
      </c>
      <c r="S40" s="18" t="n">
        <v>75</v>
      </c>
      <c r="T40" s="18" t="n">
        <v>15</v>
      </c>
    </row>
    <row r="41">
      <c r="A41" s="17" t="inlineStr">
        <is>
          <t>Gastroenterology</t>
        </is>
      </c>
      <c r="B41" s="17" t="inlineStr">
        <is>
          <t>IBD Investigation Review</t>
        </is>
      </c>
      <c r="C41" s="17" t="inlineStr">
        <is>
          <t>Yes</t>
        </is>
      </c>
      <c r="D41" s="17" t="inlineStr">
        <is>
          <t>T3 - Complex / procedure / management</t>
        </is>
      </c>
      <c r="E41" s="18" t="n">
        <v>350</v>
      </c>
      <c r="F41" s="18" t="n">
        <v>70</v>
      </c>
      <c r="G41" s="18" t="n">
        <v>400</v>
      </c>
      <c r="H41" s="18" t="n">
        <v>80</v>
      </c>
      <c r="I41" s="18" t="n">
        <v>1199</v>
      </c>
      <c r="J41" s="18" t="n">
        <v>239.8</v>
      </c>
      <c r="K41" s="18" t="n">
        <v>1199</v>
      </c>
      <c r="L41" s="18" t="n">
        <v>239.8</v>
      </c>
      <c r="M41" s="18" t="n">
        <v>95</v>
      </c>
      <c r="N41" s="18" t="n">
        <v>19</v>
      </c>
      <c r="O41" s="18" t="n">
        <v>1199</v>
      </c>
      <c r="P41" s="18" t="n">
        <v>239.8</v>
      </c>
      <c r="Q41" s="18" t="n">
        <v>119</v>
      </c>
      <c r="R41" s="18" t="n">
        <v>23.8</v>
      </c>
      <c r="S41" s="18" t="n">
        <v>119</v>
      </c>
      <c r="T41" s="18" t="n">
        <v>23.8</v>
      </c>
    </row>
    <row r="42">
      <c r="A42" s="17" t="inlineStr">
        <is>
          <t>Gastroenterology</t>
        </is>
      </c>
      <c r="B42" s="17" t="inlineStr">
        <is>
          <t>Liver Biopsy Report Review</t>
        </is>
      </c>
      <c r="C42" s="17" t="inlineStr">
        <is>
          <t>Yes</t>
        </is>
      </c>
      <c r="D42" s="17" t="inlineStr">
        <is>
          <t>T3 - Complex / procedure / management</t>
        </is>
      </c>
      <c r="E42" s="18" t="n">
        <v>350</v>
      </c>
      <c r="F42" s="18" t="n">
        <v>70</v>
      </c>
      <c r="G42" s="18" t="n">
        <v>400</v>
      </c>
      <c r="H42" s="18" t="n">
        <v>80</v>
      </c>
      <c r="I42" s="18" t="n">
        <v>1199</v>
      </c>
      <c r="J42" s="18" t="n">
        <v>239.8</v>
      </c>
      <c r="K42" s="18" t="n">
        <v>1199</v>
      </c>
      <c r="L42" s="18" t="n">
        <v>239.8</v>
      </c>
      <c r="M42" s="18" t="n">
        <v>95</v>
      </c>
      <c r="N42" s="18" t="n">
        <v>19</v>
      </c>
      <c r="O42" s="18" t="n">
        <v>1199</v>
      </c>
      <c r="P42" s="18" t="n">
        <v>239.8</v>
      </c>
      <c r="Q42" s="18" t="n">
        <v>119</v>
      </c>
      <c r="R42" s="18" t="n">
        <v>23.8</v>
      </c>
      <c r="S42" s="18" t="n">
        <v>119</v>
      </c>
      <c r="T42" s="18" t="n">
        <v>23.8</v>
      </c>
    </row>
    <row r="43">
      <c r="A43" s="17" t="inlineStr">
        <is>
          <t>Gastroenterology</t>
        </is>
      </c>
      <c r="B43" s="17" t="inlineStr">
        <is>
          <t>Liver MRI Review</t>
        </is>
      </c>
      <c r="C43" s="17" t="inlineStr">
        <is>
          <t>Yes</t>
        </is>
      </c>
      <c r="D43" s="17" t="inlineStr">
        <is>
          <t>T2 - Imaging / advanced diagnostic</t>
        </is>
      </c>
      <c r="E43" s="18" t="n">
        <v>200</v>
      </c>
      <c r="F43" s="18" t="n">
        <v>40</v>
      </c>
      <c r="G43" s="18" t="n">
        <v>250</v>
      </c>
      <c r="H43" s="18" t="n">
        <v>50</v>
      </c>
      <c r="I43" s="18" t="n">
        <v>749</v>
      </c>
      <c r="J43" s="18" t="n">
        <v>149.8</v>
      </c>
      <c r="K43" s="18" t="n">
        <v>749</v>
      </c>
      <c r="L43" s="18" t="n">
        <v>149.8</v>
      </c>
      <c r="M43" s="18" t="n">
        <v>59</v>
      </c>
      <c r="N43" s="18" t="n">
        <v>11.8</v>
      </c>
      <c r="O43" s="18" t="n">
        <v>749</v>
      </c>
      <c r="P43" s="18" t="n">
        <v>149.8</v>
      </c>
      <c r="Q43" s="18" t="n">
        <v>75</v>
      </c>
      <c r="R43" s="18" t="n">
        <v>15</v>
      </c>
      <c r="S43" s="18" t="n">
        <v>75</v>
      </c>
      <c r="T43" s="18" t="n">
        <v>15</v>
      </c>
    </row>
    <row r="44">
      <c r="A44" s="17" t="inlineStr">
        <is>
          <t>Gastroenterology</t>
        </is>
      </c>
      <c r="B44" s="17" t="inlineStr">
        <is>
          <t>Liver Ultrasound Review</t>
        </is>
      </c>
      <c r="C44" s="17" t="inlineStr">
        <is>
          <t>Yes</t>
        </is>
      </c>
      <c r="D44" s="17" t="inlineStr">
        <is>
          <t>T1 - Basic test / report</t>
        </is>
      </c>
      <c r="E44" s="18" t="n">
        <v>120</v>
      </c>
      <c r="F44" s="18" t="n">
        <v>24</v>
      </c>
      <c r="G44" s="18" t="n">
        <v>150</v>
      </c>
      <c r="H44" s="18" t="n">
        <v>30</v>
      </c>
      <c r="I44" s="18" t="n">
        <v>449</v>
      </c>
      <c r="J44" s="18" t="n">
        <v>89.8</v>
      </c>
      <c r="K44" s="18" t="n">
        <v>449</v>
      </c>
      <c r="L44" s="18" t="n">
        <v>89.8</v>
      </c>
      <c r="M44" s="18" t="n">
        <v>35</v>
      </c>
      <c r="N44" s="18" t="n">
        <v>7</v>
      </c>
      <c r="O44" s="18" t="n">
        <v>449</v>
      </c>
      <c r="P44" s="18" t="n">
        <v>89.8</v>
      </c>
      <c r="Q44" s="18" t="n">
        <v>45</v>
      </c>
      <c r="R44" s="18" t="n">
        <v>9</v>
      </c>
      <c r="S44" s="18" t="n">
        <v>45</v>
      </c>
      <c r="T44" s="18" t="n">
        <v>9</v>
      </c>
    </row>
    <row r="45">
      <c r="A45" s="17" t="inlineStr">
        <is>
          <t>Gastroenterology</t>
        </is>
      </c>
      <c r="B45" s="17" t="inlineStr">
        <is>
          <t>MRCP Review</t>
        </is>
      </c>
      <c r="C45" s="17" t="inlineStr">
        <is>
          <t>Yes</t>
        </is>
      </c>
      <c r="D45" s="17" t="inlineStr">
        <is>
          <t>T3 - Complex / procedure / management</t>
        </is>
      </c>
      <c r="E45" s="18" t="n">
        <v>350</v>
      </c>
      <c r="F45" s="18" t="n">
        <v>70</v>
      </c>
      <c r="G45" s="18" t="n">
        <v>400</v>
      </c>
      <c r="H45" s="18" t="n">
        <v>80</v>
      </c>
      <c r="I45" s="18" t="n">
        <v>1199</v>
      </c>
      <c r="J45" s="18" t="n">
        <v>239.8</v>
      </c>
      <c r="K45" s="18" t="n">
        <v>1199</v>
      </c>
      <c r="L45" s="18" t="n">
        <v>239.8</v>
      </c>
      <c r="M45" s="18" t="n">
        <v>95</v>
      </c>
      <c r="N45" s="18" t="n">
        <v>19</v>
      </c>
      <c r="O45" s="18" t="n">
        <v>1199</v>
      </c>
      <c r="P45" s="18" t="n">
        <v>239.8</v>
      </c>
      <c r="Q45" s="18" t="n">
        <v>119</v>
      </c>
      <c r="R45" s="18" t="n">
        <v>23.8</v>
      </c>
      <c r="S45" s="18" t="n">
        <v>119</v>
      </c>
      <c r="T45" s="18" t="n">
        <v>23.8</v>
      </c>
    </row>
    <row r="46">
      <c r="A46" s="17" t="inlineStr">
        <is>
          <t>Hematology</t>
        </is>
      </c>
      <c r="B46" s="17" t="inlineStr">
        <is>
          <t>Anemia Workup Review</t>
        </is>
      </c>
      <c r="C46" s="17" t="inlineStr">
        <is>
          <t>Yes</t>
        </is>
      </c>
      <c r="D46" s="17" t="inlineStr">
        <is>
          <t>T3 - Complex / procedure / management</t>
        </is>
      </c>
      <c r="E46" s="18" t="n">
        <v>350</v>
      </c>
      <c r="F46" s="18" t="n">
        <v>70</v>
      </c>
      <c r="G46" s="18" t="n">
        <v>400</v>
      </c>
      <c r="H46" s="18" t="n">
        <v>80</v>
      </c>
      <c r="I46" s="18" t="n">
        <v>1199</v>
      </c>
      <c r="J46" s="18" t="n">
        <v>239.8</v>
      </c>
      <c r="K46" s="18" t="n">
        <v>1199</v>
      </c>
      <c r="L46" s="18" t="n">
        <v>239.8</v>
      </c>
      <c r="M46" s="18" t="n">
        <v>95</v>
      </c>
      <c r="N46" s="18" t="n">
        <v>19</v>
      </c>
      <c r="O46" s="18" t="n">
        <v>1199</v>
      </c>
      <c r="P46" s="18" t="n">
        <v>239.8</v>
      </c>
      <c r="Q46" s="18" t="n">
        <v>119</v>
      </c>
      <c r="R46" s="18" t="n">
        <v>23.8</v>
      </c>
      <c r="S46" s="18" t="n">
        <v>119</v>
      </c>
      <c r="T46" s="18" t="n">
        <v>23.8</v>
      </c>
    </row>
    <row r="47">
      <c r="A47" s="17" t="inlineStr">
        <is>
          <t>Hematology</t>
        </is>
      </c>
      <c r="B47" s="17" t="inlineStr">
        <is>
          <t>Bone Marrow Biopsy Review</t>
        </is>
      </c>
      <c r="C47" s="17" t="inlineStr">
        <is>
          <t>Yes</t>
        </is>
      </c>
      <c r="D47" s="17" t="inlineStr">
        <is>
          <t>T5 - Pre-op / oncology-grade</t>
        </is>
      </c>
      <c r="E47" s="18" t="n">
        <v>550</v>
      </c>
      <c r="F47" s="18" t="n">
        <v>110</v>
      </c>
      <c r="G47" s="18" t="n">
        <v>600</v>
      </c>
      <c r="H47" s="18" t="n">
        <v>120</v>
      </c>
      <c r="I47" s="18" t="n">
        <v>1899</v>
      </c>
      <c r="J47" s="18" t="n">
        <v>379.8</v>
      </c>
      <c r="K47" s="18" t="n">
        <v>1899</v>
      </c>
      <c r="L47" s="18" t="n">
        <v>379.8</v>
      </c>
      <c r="M47" s="18" t="n">
        <v>149</v>
      </c>
      <c r="N47" s="18" t="n">
        <v>29.8</v>
      </c>
      <c r="O47" s="18" t="n">
        <v>1899</v>
      </c>
      <c r="P47" s="18" t="n">
        <v>379.8</v>
      </c>
      <c r="Q47" s="18" t="n">
        <v>189</v>
      </c>
      <c r="R47" s="18" t="n">
        <v>37.8</v>
      </c>
      <c r="S47" s="18" t="n">
        <v>189</v>
      </c>
      <c r="T47" s="18" t="n">
        <v>37.8</v>
      </c>
    </row>
    <row r="48">
      <c r="A48" s="17" t="inlineStr">
        <is>
          <t>Hematology</t>
        </is>
      </c>
      <c r="B48" s="17" t="inlineStr">
        <is>
          <t>Coagulation Panel Review</t>
        </is>
      </c>
      <c r="C48" s="17" t="inlineStr">
        <is>
          <t>Yes</t>
        </is>
      </c>
      <c r="D48" s="17" t="inlineStr">
        <is>
          <t>T2 - Imaging / advanced diagnostic</t>
        </is>
      </c>
      <c r="E48" s="18" t="n">
        <v>200</v>
      </c>
      <c r="F48" s="18" t="n">
        <v>40</v>
      </c>
      <c r="G48" s="18" t="n">
        <v>250</v>
      </c>
      <c r="H48" s="18" t="n">
        <v>50</v>
      </c>
      <c r="I48" s="18" t="n">
        <v>749</v>
      </c>
      <c r="J48" s="18" t="n">
        <v>149.8</v>
      </c>
      <c r="K48" s="18" t="n">
        <v>749</v>
      </c>
      <c r="L48" s="18" t="n">
        <v>149.8</v>
      </c>
      <c r="M48" s="18" t="n">
        <v>59</v>
      </c>
      <c r="N48" s="18" t="n">
        <v>11.8</v>
      </c>
      <c r="O48" s="18" t="n">
        <v>749</v>
      </c>
      <c r="P48" s="18" t="n">
        <v>149.8</v>
      </c>
      <c r="Q48" s="18" t="n">
        <v>75</v>
      </c>
      <c r="R48" s="18" t="n">
        <v>15</v>
      </c>
      <c r="S48" s="18" t="n">
        <v>75</v>
      </c>
      <c r="T48" s="18" t="n">
        <v>15</v>
      </c>
    </row>
    <row r="49">
      <c r="A49" s="17" t="inlineStr">
        <is>
          <t>Hematology</t>
        </is>
      </c>
      <c r="B49" s="17" t="inlineStr">
        <is>
          <t>Flow Cytometry Review</t>
        </is>
      </c>
      <c r="C49" s="17" t="inlineStr">
        <is>
          <t>Yes</t>
        </is>
      </c>
      <c r="D49" s="17" t="inlineStr">
        <is>
          <t>T5 - Pre-op / oncology-grade</t>
        </is>
      </c>
      <c r="E49" s="18" t="n">
        <v>550</v>
      </c>
      <c r="F49" s="18" t="n">
        <v>110</v>
      </c>
      <c r="G49" s="18" t="n">
        <v>600</v>
      </c>
      <c r="H49" s="18" t="n">
        <v>120</v>
      </c>
      <c r="I49" s="18" t="n">
        <v>1899</v>
      </c>
      <c r="J49" s="18" t="n">
        <v>379.8</v>
      </c>
      <c r="K49" s="18" t="n">
        <v>1899</v>
      </c>
      <c r="L49" s="18" t="n">
        <v>379.8</v>
      </c>
      <c r="M49" s="18" t="n">
        <v>149</v>
      </c>
      <c r="N49" s="18" t="n">
        <v>29.8</v>
      </c>
      <c r="O49" s="18" t="n">
        <v>1899</v>
      </c>
      <c r="P49" s="18" t="n">
        <v>379.8</v>
      </c>
      <c r="Q49" s="18" t="n">
        <v>189</v>
      </c>
      <c r="R49" s="18" t="n">
        <v>37.8</v>
      </c>
      <c r="S49" s="18" t="n">
        <v>189</v>
      </c>
      <c r="T49" s="18" t="n">
        <v>37.8</v>
      </c>
    </row>
    <row r="50">
      <c r="A50" s="17" t="inlineStr">
        <is>
          <t>Hematology</t>
        </is>
      </c>
      <c r="B50" s="17" t="inlineStr">
        <is>
          <t>Full CBC with Differential Review</t>
        </is>
      </c>
      <c r="C50" s="17" t="inlineStr">
        <is>
          <t>Yes</t>
        </is>
      </c>
      <c r="D50" s="17" t="inlineStr">
        <is>
          <t>T1 - Basic test / report</t>
        </is>
      </c>
      <c r="E50" s="18" t="n">
        <v>120</v>
      </c>
      <c r="F50" s="18" t="n">
        <v>24</v>
      </c>
      <c r="G50" s="18" t="n">
        <v>150</v>
      </c>
      <c r="H50" s="18" t="n">
        <v>30</v>
      </c>
      <c r="I50" s="18" t="n">
        <v>449</v>
      </c>
      <c r="J50" s="18" t="n">
        <v>89.8</v>
      </c>
      <c r="K50" s="18" t="n">
        <v>449</v>
      </c>
      <c r="L50" s="18" t="n">
        <v>89.8</v>
      </c>
      <c r="M50" s="18" t="n">
        <v>35</v>
      </c>
      <c r="N50" s="18" t="n">
        <v>7</v>
      </c>
      <c r="O50" s="18" t="n">
        <v>449</v>
      </c>
      <c r="P50" s="18" t="n">
        <v>89.8</v>
      </c>
      <c r="Q50" s="18" t="n">
        <v>45</v>
      </c>
      <c r="R50" s="18" t="n">
        <v>9</v>
      </c>
      <c r="S50" s="18" t="n">
        <v>45</v>
      </c>
      <c r="T50" s="18" t="n">
        <v>9</v>
      </c>
    </row>
    <row r="51">
      <c r="A51" s="17" t="inlineStr">
        <is>
          <t>Hematology</t>
        </is>
      </c>
      <c r="B51" s="17" t="inlineStr">
        <is>
          <t>Immunoglobulins/SPEP Review</t>
        </is>
      </c>
      <c r="C51" s="17" t="inlineStr">
        <is>
          <t>Yes</t>
        </is>
      </c>
      <c r="D51" s="17" t="inlineStr">
        <is>
          <t>T3 - Complex / procedure / management</t>
        </is>
      </c>
      <c r="E51" s="18" t="n">
        <v>350</v>
      </c>
      <c r="F51" s="18" t="n">
        <v>70</v>
      </c>
      <c r="G51" s="18" t="n">
        <v>400</v>
      </c>
      <c r="H51" s="18" t="n">
        <v>80</v>
      </c>
      <c r="I51" s="18" t="n">
        <v>1199</v>
      </c>
      <c r="J51" s="18" t="n">
        <v>239.8</v>
      </c>
      <c r="K51" s="18" t="n">
        <v>1199</v>
      </c>
      <c r="L51" s="18" t="n">
        <v>239.8</v>
      </c>
      <c r="M51" s="18" t="n">
        <v>95</v>
      </c>
      <c r="N51" s="18" t="n">
        <v>19</v>
      </c>
      <c r="O51" s="18" t="n">
        <v>1199</v>
      </c>
      <c r="P51" s="18" t="n">
        <v>239.8</v>
      </c>
      <c r="Q51" s="18" t="n">
        <v>119</v>
      </c>
      <c r="R51" s="18" t="n">
        <v>23.8</v>
      </c>
      <c r="S51" s="18" t="n">
        <v>119</v>
      </c>
      <c r="T51" s="18" t="n">
        <v>23.8</v>
      </c>
    </row>
    <row r="52">
      <c r="A52" s="17" t="inlineStr">
        <is>
          <t>Hematology</t>
        </is>
      </c>
      <c r="B52" s="17" t="inlineStr">
        <is>
          <t>Lymphoma Staging Review</t>
        </is>
      </c>
      <c r="C52" s="17" t="inlineStr">
        <is>
          <t>Yes</t>
        </is>
      </c>
      <c r="D52" s="17" t="inlineStr">
        <is>
          <t>T5 - Pre-op / oncology-grade</t>
        </is>
      </c>
      <c r="E52" s="18" t="n">
        <v>550</v>
      </c>
      <c r="F52" s="18" t="n">
        <v>110</v>
      </c>
      <c r="G52" s="18" t="n">
        <v>600</v>
      </c>
      <c r="H52" s="18" t="n">
        <v>120</v>
      </c>
      <c r="I52" s="18" t="n">
        <v>1899</v>
      </c>
      <c r="J52" s="18" t="n">
        <v>379.8</v>
      </c>
      <c r="K52" s="18" t="n">
        <v>1899</v>
      </c>
      <c r="L52" s="18" t="n">
        <v>379.8</v>
      </c>
      <c r="M52" s="18" t="n">
        <v>149</v>
      </c>
      <c r="N52" s="18" t="n">
        <v>29.8</v>
      </c>
      <c r="O52" s="18" t="n">
        <v>1899</v>
      </c>
      <c r="P52" s="18" t="n">
        <v>379.8</v>
      </c>
      <c r="Q52" s="18" t="n">
        <v>189</v>
      </c>
      <c r="R52" s="18" t="n">
        <v>37.8</v>
      </c>
      <c r="S52" s="18" t="n">
        <v>189</v>
      </c>
      <c r="T52" s="18" t="n">
        <v>37.8</v>
      </c>
    </row>
    <row r="53">
      <c r="A53" s="17" t="inlineStr">
        <is>
          <t>Hematology</t>
        </is>
      </c>
      <c r="B53" s="17" t="inlineStr">
        <is>
          <t>Sickle Cell/Thalassemia Review</t>
        </is>
      </c>
      <c r="C53" s="17" t="inlineStr">
        <is>
          <t>Yes</t>
        </is>
      </c>
      <c r="D53" s="17" t="inlineStr">
        <is>
          <t>T2 - Imaging / advanced diagnostic</t>
        </is>
      </c>
      <c r="E53" s="18" t="n">
        <v>200</v>
      </c>
      <c r="F53" s="18" t="n">
        <v>40</v>
      </c>
      <c r="G53" s="18" t="n">
        <v>250</v>
      </c>
      <c r="H53" s="18" t="n">
        <v>50</v>
      </c>
      <c r="I53" s="18" t="n">
        <v>749</v>
      </c>
      <c r="J53" s="18" t="n">
        <v>149.8</v>
      </c>
      <c r="K53" s="18" t="n">
        <v>749</v>
      </c>
      <c r="L53" s="18" t="n">
        <v>149.8</v>
      </c>
      <c r="M53" s="18" t="n">
        <v>59</v>
      </c>
      <c r="N53" s="18" t="n">
        <v>11.8</v>
      </c>
      <c r="O53" s="18" t="n">
        <v>749</v>
      </c>
      <c r="P53" s="18" t="n">
        <v>149.8</v>
      </c>
      <c r="Q53" s="18" t="n">
        <v>75</v>
      </c>
      <c r="R53" s="18" t="n">
        <v>15</v>
      </c>
      <c r="S53" s="18" t="n">
        <v>75</v>
      </c>
      <c r="T53" s="18" t="n">
        <v>15</v>
      </c>
    </row>
    <row r="54">
      <c r="A54" s="17" t="inlineStr">
        <is>
          <t>Hematology</t>
        </is>
      </c>
      <c r="B54" s="17" t="inlineStr">
        <is>
          <t>Thrombophilia Panel Review</t>
        </is>
      </c>
      <c r="C54" s="17" t="inlineStr">
        <is>
          <t>Yes</t>
        </is>
      </c>
      <c r="D54" s="17" t="inlineStr">
        <is>
          <t>T3 - Complex / procedure / management</t>
        </is>
      </c>
      <c r="E54" s="18" t="n">
        <v>350</v>
      </c>
      <c r="F54" s="18" t="n">
        <v>70</v>
      </c>
      <c r="G54" s="18" t="n">
        <v>400</v>
      </c>
      <c r="H54" s="18" t="n">
        <v>80</v>
      </c>
      <c r="I54" s="18" t="n">
        <v>1199</v>
      </c>
      <c r="J54" s="18" t="n">
        <v>239.8</v>
      </c>
      <c r="K54" s="18" t="n">
        <v>1199</v>
      </c>
      <c r="L54" s="18" t="n">
        <v>239.8</v>
      </c>
      <c r="M54" s="18" t="n">
        <v>95</v>
      </c>
      <c r="N54" s="18" t="n">
        <v>19</v>
      </c>
      <c r="O54" s="18" t="n">
        <v>1199</v>
      </c>
      <c r="P54" s="18" t="n">
        <v>239.8</v>
      </c>
      <c r="Q54" s="18" t="n">
        <v>119</v>
      </c>
      <c r="R54" s="18" t="n">
        <v>23.8</v>
      </c>
      <c r="S54" s="18" t="n">
        <v>119</v>
      </c>
      <c r="T54" s="18" t="n">
        <v>23.8</v>
      </c>
    </row>
    <row r="55">
      <c r="A55" s="17" t="inlineStr">
        <is>
          <t>Lab &amp; Pathology</t>
        </is>
      </c>
      <c r="B55" s="17" t="inlineStr">
        <is>
          <t>Autoimmune - ANCA</t>
        </is>
      </c>
      <c r="C55" s="17" t="inlineStr">
        <is>
          <t>Yes</t>
        </is>
      </c>
      <c r="D55" s="17" t="inlineStr">
        <is>
          <t>T1 - Basic test / report</t>
        </is>
      </c>
      <c r="E55" s="18" t="n">
        <v>120</v>
      </c>
      <c r="F55" s="18" t="n">
        <v>24</v>
      </c>
      <c r="G55" s="18" t="n">
        <v>150</v>
      </c>
      <c r="H55" s="18" t="n">
        <v>30</v>
      </c>
      <c r="I55" s="18" t="n">
        <v>449</v>
      </c>
      <c r="J55" s="18" t="n">
        <v>89.8</v>
      </c>
      <c r="K55" s="18" t="n">
        <v>449</v>
      </c>
      <c r="L55" s="18" t="n">
        <v>89.8</v>
      </c>
      <c r="M55" s="18" t="n">
        <v>35</v>
      </c>
      <c r="N55" s="18" t="n">
        <v>7</v>
      </c>
      <c r="O55" s="18" t="n">
        <v>449</v>
      </c>
      <c r="P55" s="18" t="n">
        <v>89.8</v>
      </c>
      <c r="Q55" s="18" t="n">
        <v>45</v>
      </c>
      <c r="R55" s="18" t="n">
        <v>9</v>
      </c>
      <c r="S55" s="18" t="n">
        <v>45</v>
      </c>
      <c r="T55" s="18" t="n">
        <v>9</v>
      </c>
    </row>
    <row r="56">
      <c r="A56" s="17" t="inlineStr">
        <is>
          <t>Lab &amp; Pathology</t>
        </is>
      </c>
      <c r="B56" s="17" t="inlineStr">
        <is>
          <t>Autoimmune - Anti-DNA</t>
        </is>
      </c>
      <c r="C56" s="17" t="inlineStr">
        <is>
          <t>Yes</t>
        </is>
      </c>
      <c r="D56" s="17" t="inlineStr">
        <is>
          <t>T1 - Basic test / report</t>
        </is>
      </c>
      <c r="E56" s="18" t="n">
        <v>120</v>
      </c>
      <c r="F56" s="18" t="n">
        <v>24</v>
      </c>
      <c r="G56" s="18" t="n">
        <v>150</v>
      </c>
      <c r="H56" s="18" t="n">
        <v>30</v>
      </c>
      <c r="I56" s="18" t="n">
        <v>449</v>
      </c>
      <c r="J56" s="18" t="n">
        <v>89.8</v>
      </c>
      <c r="K56" s="18" t="n">
        <v>449</v>
      </c>
      <c r="L56" s="18" t="n">
        <v>89.8</v>
      </c>
      <c r="M56" s="18" t="n">
        <v>35</v>
      </c>
      <c r="N56" s="18" t="n">
        <v>7</v>
      </c>
      <c r="O56" s="18" t="n">
        <v>449</v>
      </c>
      <c r="P56" s="18" t="n">
        <v>89.8</v>
      </c>
      <c r="Q56" s="18" t="n">
        <v>45</v>
      </c>
      <c r="R56" s="18" t="n">
        <v>9</v>
      </c>
      <c r="S56" s="18" t="n">
        <v>45</v>
      </c>
      <c r="T56" s="18" t="n">
        <v>9</v>
      </c>
    </row>
    <row r="57">
      <c r="A57" s="17" t="inlineStr">
        <is>
          <t>Lab &amp; Pathology</t>
        </is>
      </c>
      <c r="B57" s="17" t="inlineStr">
        <is>
          <t>Autoimmune - ASMA</t>
        </is>
      </c>
      <c r="C57" s="17" t="inlineStr">
        <is>
          <t>Yes</t>
        </is>
      </c>
      <c r="D57" s="17" t="inlineStr">
        <is>
          <t>T1 - Basic test / report</t>
        </is>
      </c>
      <c r="E57" s="18" t="n">
        <v>120</v>
      </c>
      <c r="F57" s="18" t="n">
        <v>24</v>
      </c>
      <c r="G57" s="18" t="n">
        <v>150</v>
      </c>
      <c r="H57" s="18" t="n">
        <v>30</v>
      </c>
      <c r="I57" s="18" t="n">
        <v>449</v>
      </c>
      <c r="J57" s="18" t="n">
        <v>89.8</v>
      </c>
      <c r="K57" s="18" t="n">
        <v>449</v>
      </c>
      <c r="L57" s="18" t="n">
        <v>89.8</v>
      </c>
      <c r="M57" s="18" t="n">
        <v>35</v>
      </c>
      <c r="N57" s="18" t="n">
        <v>7</v>
      </c>
      <c r="O57" s="18" t="n">
        <v>449</v>
      </c>
      <c r="P57" s="18" t="n">
        <v>89.8</v>
      </c>
      <c r="Q57" s="18" t="n">
        <v>45</v>
      </c>
      <c r="R57" s="18" t="n">
        <v>9</v>
      </c>
      <c r="S57" s="18" t="n">
        <v>45</v>
      </c>
      <c r="T57" s="18" t="n">
        <v>9</v>
      </c>
    </row>
    <row r="58">
      <c r="A58" s="17" t="inlineStr">
        <is>
          <t>Lab &amp; Pathology</t>
        </is>
      </c>
      <c r="B58" s="17" t="inlineStr">
        <is>
          <t>Autoimmune Panel Review</t>
        </is>
      </c>
      <c r="C58" s="17" t="inlineStr">
        <is>
          <t>Yes</t>
        </is>
      </c>
      <c r="D58" s="17" t="inlineStr">
        <is>
          <t>T2 - Imaging / advanced diagnostic</t>
        </is>
      </c>
      <c r="E58" s="18" t="n">
        <v>200</v>
      </c>
      <c r="F58" s="18" t="n">
        <v>40</v>
      </c>
      <c r="G58" s="18" t="n">
        <v>250</v>
      </c>
      <c r="H58" s="18" t="n">
        <v>50</v>
      </c>
      <c r="I58" s="18" t="n">
        <v>749</v>
      </c>
      <c r="J58" s="18" t="n">
        <v>149.8</v>
      </c>
      <c r="K58" s="18" t="n">
        <v>749</v>
      </c>
      <c r="L58" s="18" t="n">
        <v>149.8</v>
      </c>
      <c r="M58" s="18" t="n">
        <v>59</v>
      </c>
      <c r="N58" s="18" t="n">
        <v>11.8</v>
      </c>
      <c r="O58" s="18" t="n">
        <v>749</v>
      </c>
      <c r="P58" s="18" t="n">
        <v>149.8</v>
      </c>
      <c r="Q58" s="18" t="n">
        <v>75</v>
      </c>
      <c r="R58" s="18" t="n">
        <v>15</v>
      </c>
      <c r="S58" s="18" t="n">
        <v>75</v>
      </c>
      <c r="T58" s="18" t="n">
        <v>15</v>
      </c>
    </row>
    <row r="59">
      <c r="A59" s="17" t="inlineStr">
        <is>
          <t>Lab &amp; Pathology</t>
        </is>
      </c>
      <c r="B59" s="17" t="inlineStr">
        <is>
          <t>Body Fluids Analysis</t>
        </is>
      </c>
      <c r="C59" s="17" t="inlineStr">
        <is>
          <t>Hidden</t>
        </is>
      </c>
      <c r="D59" s="17" t="inlineStr">
        <is>
          <t>T2 - Imaging / advanced diagnostic</t>
        </is>
      </c>
      <c r="E59" s="18" t="n">
        <v>200</v>
      </c>
      <c r="F59" s="18" t="n">
        <v>40</v>
      </c>
      <c r="G59" s="18" t="n">
        <v>250</v>
      </c>
      <c r="H59" s="18" t="n">
        <v>50</v>
      </c>
      <c r="I59" s="18" t="n">
        <v>749</v>
      </c>
      <c r="J59" s="18" t="n">
        <v>149.8</v>
      </c>
      <c r="K59" s="18" t="n">
        <v>749</v>
      </c>
      <c r="L59" s="18" t="n">
        <v>149.8</v>
      </c>
      <c r="M59" s="18" t="n">
        <v>59</v>
      </c>
      <c r="N59" s="18" t="n">
        <v>11.8</v>
      </c>
      <c r="O59" s="18" t="n">
        <v>749</v>
      </c>
      <c r="P59" s="18" t="n">
        <v>149.8</v>
      </c>
      <c r="Q59" s="18" t="n">
        <v>75</v>
      </c>
      <c r="R59" s="18" t="n">
        <v>15</v>
      </c>
      <c r="S59" s="18" t="n">
        <v>75</v>
      </c>
      <c r="T59" s="18" t="n">
        <v>15</v>
      </c>
    </row>
    <row r="60">
      <c r="A60" s="17" t="inlineStr">
        <is>
          <t>Lab &amp; Pathology</t>
        </is>
      </c>
      <c r="B60" s="17" t="inlineStr">
        <is>
          <t>Bone Marrow Aspirate Review</t>
        </is>
      </c>
      <c r="C60" s="17" t="inlineStr">
        <is>
          <t>Yes</t>
        </is>
      </c>
      <c r="D60" s="17" t="inlineStr">
        <is>
          <t>T5 - Pre-op / oncology-grade</t>
        </is>
      </c>
      <c r="E60" s="18" t="n">
        <v>550</v>
      </c>
      <c r="F60" s="18" t="n">
        <v>110</v>
      </c>
      <c r="G60" s="18" t="n">
        <v>600</v>
      </c>
      <c r="H60" s="18" t="n">
        <v>120</v>
      </c>
      <c r="I60" s="18" t="n">
        <v>1899</v>
      </c>
      <c r="J60" s="18" t="n">
        <v>379.8</v>
      </c>
      <c r="K60" s="18" t="n">
        <v>1899</v>
      </c>
      <c r="L60" s="18" t="n">
        <v>379.8</v>
      </c>
      <c r="M60" s="18" t="n">
        <v>149</v>
      </c>
      <c r="N60" s="18" t="n">
        <v>29.8</v>
      </c>
      <c r="O60" s="18" t="n">
        <v>1899</v>
      </c>
      <c r="P60" s="18" t="n">
        <v>379.8</v>
      </c>
      <c r="Q60" s="18" t="n">
        <v>189</v>
      </c>
      <c r="R60" s="18" t="n">
        <v>37.8</v>
      </c>
      <c r="S60" s="18" t="n">
        <v>189</v>
      </c>
      <c r="T60" s="18" t="n">
        <v>37.8</v>
      </c>
    </row>
    <row r="61">
      <c r="A61" s="17" t="inlineStr">
        <is>
          <t>Lab &amp; Pathology</t>
        </is>
      </c>
      <c r="B61" s="17" t="inlineStr">
        <is>
          <t>Coagulation &amp; Electrolytes Review</t>
        </is>
      </c>
      <c r="C61" s="17" t="inlineStr">
        <is>
          <t>Yes</t>
        </is>
      </c>
      <c r="D61" s="17" t="inlineStr">
        <is>
          <t>T1 - Basic test / report</t>
        </is>
      </c>
      <c r="E61" s="18" t="n">
        <v>120</v>
      </c>
      <c r="F61" s="18" t="n">
        <v>24</v>
      </c>
      <c r="G61" s="18" t="n">
        <v>150</v>
      </c>
      <c r="H61" s="18" t="n">
        <v>30</v>
      </c>
      <c r="I61" s="18" t="n">
        <v>449</v>
      </c>
      <c r="J61" s="18" t="n">
        <v>89.8</v>
      </c>
      <c r="K61" s="18" t="n">
        <v>449</v>
      </c>
      <c r="L61" s="18" t="n">
        <v>89.8</v>
      </c>
      <c r="M61" s="18" t="n">
        <v>35</v>
      </c>
      <c r="N61" s="18" t="n">
        <v>7</v>
      </c>
      <c r="O61" s="18" t="n">
        <v>449</v>
      </c>
      <c r="P61" s="18" t="n">
        <v>89.8</v>
      </c>
      <c r="Q61" s="18" t="n">
        <v>45</v>
      </c>
      <c r="R61" s="18" t="n">
        <v>9</v>
      </c>
      <c r="S61" s="18" t="n">
        <v>45</v>
      </c>
      <c r="T61" s="18" t="n">
        <v>9</v>
      </c>
    </row>
    <row r="62">
      <c r="A62" s="17" t="inlineStr">
        <is>
          <t>Lab &amp; Pathology</t>
        </is>
      </c>
      <c r="B62" s="17" t="inlineStr">
        <is>
          <t>Cytology</t>
        </is>
      </c>
      <c r="C62" s="17" t="inlineStr">
        <is>
          <t>Yes</t>
        </is>
      </c>
      <c r="D62" s="17" t="inlineStr">
        <is>
          <t>T1 - Basic test / report</t>
        </is>
      </c>
      <c r="E62" s="18" t="n">
        <v>120</v>
      </c>
      <c r="F62" s="18" t="n">
        <v>24</v>
      </c>
      <c r="G62" s="18" t="n">
        <v>150</v>
      </c>
      <c r="H62" s="18" t="n">
        <v>30</v>
      </c>
      <c r="I62" s="18" t="n">
        <v>449</v>
      </c>
      <c r="J62" s="18" t="n">
        <v>89.8</v>
      </c>
      <c r="K62" s="18" t="n">
        <v>449</v>
      </c>
      <c r="L62" s="18" t="n">
        <v>89.8</v>
      </c>
      <c r="M62" s="18" t="n">
        <v>35</v>
      </c>
      <c r="N62" s="18" t="n">
        <v>7</v>
      </c>
      <c r="O62" s="18" t="n">
        <v>449</v>
      </c>
      <c r="P62" s="18" t="n">
        <v>89.8</v>
      </c>
      <c r="Q62" s="18" t="n">
        <v>45</v>
      </c>
      <c r="R62" s="18" t="n">
        <v>9</v>
      </c>
      <c r="S62" s="18" t="n">
        <v>45</v>
      </c>
      <c r="T62" s="18" t="n">
        <v>9</v>
      </c>
    </row>
    <row r="63">
      <c r="A63" s="17" t="inlineStr">
        <is>
          <t>Lab &amp; Pathology</t>
        </is>
      </c>
      <c r="B63" s="17" t="inlineStr">
        <is>
          <t>Fine Needle Aspiration (FNA)</t>
        </is>
      </c>
      <c r="C63" s="17" t="inlineStr">
        <is>
          <t>Hidden</t>
        </is>
      </c>
      <c r="D63" s="17" t="inlineStr">
        <is>
          <t>T2 - Imaging / advanced diagnostic</t>
        </is>
      </c>
      <c r="E63" s="18" t="n">
        <v>200</v>
      </c>
      <c r="F63" s="18" t="n">
        <v>40</v>
      </c>
      <c r="G63" s="18" t="n">
        <v>250</v>
      </c>
      <c r="H63" s="18" t="n">
        <v>50</v>
      </c>
      <c r="I63" s="18" t="n">
        <v>749</v>
      </c>
      <c r="J63" s="18" t="n">
        <v>149.8</v>
      </c>
      <c r="K63" s="18" t="n">
        <v>749</v>
      </c>
      <c r="L63" s="18" t="n">
        <v>149.8</v>
      </c>
      <c r="M63" s="18" t="n">
        <v>59</v>
      </c>
      <c r="N63" s="18" t="n">
        <v>11.8</v>
      </c>
      <c r="O63" s="18" t="n">
        <v>749</v>
      </c>
      <c r="P63" s="18" t="n">
        <v>149.8</v>
      </c>
      <c r="Q63" s="18" t="n">
        <v>75</v>
      </c>
      <c r="R63" s="18" t="n">
        <v>15</v>
      </c>
      <c r="S63" s="18" t="n">
        <v>75</v>
      </c>
      <c r="T63" s="18" t="n">
        <v>15</v>
      </c>
    </row>
    <row r="64">
      <c r="A64" s="17" t="inlineStr">
        <is>
          <t>Lab &amp; Pathology</t>
        </is>
      </c>
      <c r="B64" s="17" t="inlineStr">
        <is>
          <t>Genetic/Molecular Testing</t>
        </is>
      </c>
      <c r="C64" s="17" t="inlineStr">
        <is>
          <t>Hidden</t>
        </is>
      </c>
      <c r="D64" s="17" t="inlineStr">
        <is>
          <t>T2 - Imaging / advanced diagnostic</t>
        </is>
      </c>
      <c r="E64" s="18" t="n">
        <v>200</v>
      </c>
      <c r="F64" s="18" t="n">
        <v>40</v>
      </c>
      <c r="G64" s="18" t="n">
        <v>250</v>
      </c>
      <c r="H64" s="18" t="n">
        <v>50</v>
      </c>
      <c r="I64" s="18" t="n">
        <v>749</v>
      </c>
      <c r="J64" s="18" t="n">
        <v>149.8</v>
      </c>
      <c r="K64" s="18" t="n">
        <v>749</v>
      </c>
      <c r="L64" s="18" t="n">
        <v>149.8</v>
      </c>
      <c r="M64" s="18" t="n">
        <v>59</v>
      </c>
      <c r="N64" s="18" t="n">
        <v>11.8</v>
      </c>
      <c r="O64" s="18" t="n">
        <v>749</v>
      </c>
      <c r="P64" s="18" t="n">
        <v>149.8</v>
      </c>
      <c r="Q64" s="18" t="n">
        <v>75</v>
      </c>
      <c r="R64" s="18" t="n">
        <v>15</v>
      </c>
      <c r="S64" s="18" t="n">
        <v>75</v>
      </c>
      <c r="T64" s="18" t="n">
        <v>15</v>
      </c>
    </row>
    <row r="65">
      <c r="A65" s="17" t="inlineStr">
        <is>
          <t>Lab &amp; Pathology</t>
        </is>
      </c>
      <c r="B65" s="17" t="inlineStr">
        <is>
          <t>Histopathology - Large Biopsy</t>
        </is>
      </c>
      <c r="C65" s="17" t="inlineStr">
        <is>
          <t>Yes</t>
        </is>
      </c>
      <c r="D65" s="17" t="inlineStr">
        <is>
          <t>T3 - Complex / procedure / management</t>
        </is>
      </c>
      <c r="E65" s="18" t="n">
        <v>350</v>
      </c>
      <c r="F65" s="18" t="n">
        <v>70</v>
      </c>
      <c r="G65" s="18" t="n">
        <v>400</v>
      </c>
      <c r="H65" s="18" t="n">
        <v>80</v>
      </c>
      <c r="I65" s="18" t="n">
        <v>1199</v>
      </c>
      <c r="J65" s="18" t="n">
        <v>239.8</v>
      </c>
      <c r="K65" s="18" t="n">
        <v>1199</v>
      </c>
      <c r="L65" s="18" t="n">
        <v>239.8</v>
      </c>
      <c r="M65" s="18" t="n">
        <v>95</v>
      </c>
      <c r="N65" s="18" t="n">
        <v>19</v>
      </c>
      <c r="O65" s="18" t="n">
        <v>1199</v>
      </c>
      <c r="P65" s="18" t="n">
        <v>239.8</v>
      </c>
      <c r="Q65" s="18" t="n">
        <v>119</v>
      </c>
      <c r="R65" s="18" t="n">
        <v>23.8</v>
      </c>
      <c r="S65" s="18" t="n">
        <v>119</v>
      </c>
      <c r="T65" s="18" t="n">
        <v>23.8</v>
      </c>
    </row>
    <row r="66">
      <c r="A66" s="17" t="inlineStr">
        <is>
          <t>Lab &amp; Pathology</t>
        </is>
      </c>
      <c r="B66" s="17" t="inlineStr">
        <is>
          <t>Histopathology - Organ/Resection</t>
        </is>
      </c>
      <c r="C66" s="17" t="inlineStr">
        <is>
          <t>Yes</t>
        </is>
      </c>
      <c r="D66" s="17" t="inlineStr">
        <is>
          <t>T3 - Complex / procedure / management</t>
        </is>
      </c>
      <c r="E66" s="18" t="n">
        <v>350</v>
      </c>
      <c r="F66" s="18" t="n">
        <v>70</v>
      </c>
      <c r="G66" s="18" t="n">
        <v>400</v>
      </c>
      <c r="H66" s="18" t="n">
        <v>80</v>
      </c>
      <c r="I66" s="18" t="n">
        <v>1199</v>
      </c>
      <c r="J66" s="18" t="n">
        <v>239.8</v>
      </c>
      <c r="K66" s="18" t="n">
        <v>1199</v>
      </c>
      <c r="L66" s="18" t="n">
        <v>239.8</v>
      </c>
      <c r="M66" s="18" t="n">
        <v>95</v>
      </c>
      <c r="N66" s="18" t="n">
        <v>19</v>
      </c>
      <c r="O66" s="18" t="n">
        <v>1199</v>
      </c>
      <c r="P66" s="18" t="n">
        <v>239.8</v>
      </c>
      <c r="Q66" s="18" t="n">
        <v>119</v>
      </c>
      <c r="R66" s="18" t="n">
        <v>23.8</v>
      </c>
      <c r="S66" s="18" t="n">
        <v>119</v>
      </c>
      <c r="T66" s="18" t="n">
        <v>23.8</v>
      </c>
    </row>
    <row r="67">
      <c r="A67" s="17" t="inlineStr">
        <is>
          <t>Lab &amp; Pathology</t>
        </is>
      </c>
      <c r="B67" s="17" t="inlineStr">
        <is>
          <t>Histopathology - Small Biopsy</t>
        </is>
      </c>
      <c r="C67" s="17" t="inlineStr">
        <is>
          <t>Yes</t>
        </is>
      </c>
      <c r="D67" s="17" t="inlineStr">
        <is>
          <t>T1 - Basic test / report</t>
        </is>
      </c>
      <c r="E67" s="18" t="n">
        <v>120</v>
      </c>
      <c r="F67" s="18" t="n">
        <v>24</v>
      </c>
      <c r="G67" s="18" t="n">
        <v>150</v>
      </c>
      <c r="H67" s="18" t="n">
        <v>30</v>
      </c>
      <c r="I67" s="18" t="n">
        <v>449</v>
      </c>
      <c r="J67" s="18" t="n">
        <v>89.8</v>
      </c>
      <c r="K67" s="18" t="n">
        <v>449</v>
      </c>
      <c r="L67" s="18" t="n">
        <v>89.8</v>
      </c>
      <c r="M67" s="18" t="n">
        <v>35</v>
      </c>
      <c r="N67" s="18" t="n">
        <v>7</v>
      </c>
      <c r="O67" s="18" t="n">
        <v>449</v>
      </c>
      <c r="P67" s="18" t="n">
        <v>89.8</v>
      </c>
      <c r="Q67" s="18" t="n">
        <v>45</v>
      </c>
      <c r="R67" s="18" t="n">
        <v>9</v>
      </c>
      <c r="S67" s="18" t="n">
        <v>45</v>
      </c>
      <c r="T67" s="18" t="n">
        <v>9</v>
      </c>
    </row>
    <row r="68">
      <c r="A68" s="17" t="inlineStr">
        <is>
          <t>Lab &amp; Pathology</t>
        </is>
      </c>
      <c r="B68" s="17" t="inlineStr">
        <is>
          <t>Hormone Panel Review</t>
        </is>
      </c>
      <c r="C68" s="17" t="inlineStr">
        <is>
          <t>Yes</t>
        </is>
      </c>
      <c r="D68" s="17" t="inlineStr">
        <is>
          <t>T2 - Imaging / advanced diagnostic</t>
        </is>
      </c>
      <c r="E68" s="18" t="n">
        <v>200</v>
      </c>
      <c r="F68" s="18" t="n">
        <v>40</v>
      </c>
      <c r="G68" s="18" t="n">
        <v>250</v>
      </c>
      <c r="H68" s="18" t="n">
        <v>50</v>
      </c>
      <c r="I68" s="18" t="n">
        <v>749</v>
      </c>
      <c r="J68" s="18" t="n">
        <v>149.8</v>
      </c>
      <c r="K68" s="18" t="n">
        <v>749</v>
      </c>
      <c r="L68" s="18" t="n">
        <v>149.8</v>
      </c>
      <c r="M68" s="18" t="n">
        <v>59</v>
      </c>
      <c r="N68" s="18" t="n">
        <v>11.8</v>
      </c>
      <c r="O68" s="18" t="n">
        <v>749</v>
      </c>
      <c r="P68" s="18" t="n">
        <v>149.8</v>
      </c>
      <c r="Q68" s="18" t="n">
        <v>75</v>
      </c>
      <c r="R68" s="18" t="n">
        <v>15</v>
      </c>
      <c r="S68" s="18" t="n">
        <v>75</v>
      </c>
      <c r="T68" s="18" t="n">
        <v>15</v>
      </c>
    </row>
    <row r="69">
      <c r="A69" s="17" t="inlineStr">
        <is>
          <t>Lab &amp; Pathology</t>
        </is>
      </c>
      <c r="B69" s="17" t="inlineStr">
        <is>
          <t>Microbiology - Sputum C&amp;S</t>
        </is>
      </c>
      <c r="C69" s="17" t="inlineStr">
        <is>
          <t>Yes</t>
        </is>
      </c>
      <c r="D69" s="17" t="inlineStr">
        <is>
          <t>T2 - Imaging / advanced diagnostic</t>
        </is>
      </c>
      <c r="E69" s="18" t="n">
        <v>200</v>
      </c>
      <c r="F69" s="18" t="n">
        <v>40</v>
      </c>
      <c r="G69" s="18" t="n">
        <v>250</v>
      </c>
      <c r="H69" s="18" t="n">
        <v>50</v>
      </c>
      <c r="I69" s="18" t="n">
        <v>749</v>
      </c>
      <c r="J69" s="18" t="n">
        <v>149.8</v>
      </c>
      <c r="K69" s="18" t="n">
        <v>749</v>
      </c>
      <c r="L69" s="18" t="n">
        <v>149.8</v>
      </c>
      <c r="M69" s="18" t="n">
        <v>59</v>
      </c>
      <c r="N69" s="18" t="n">
        <v>11.8</v>
      </c>
      <c r="O69" s="18" t="n">
        <v>749</v>
      </c>
      <c r="P69" s="18" t="n">
        <v>149.8</v>
      </c>
      <c r="Q69" s="18" t="n">
        <v>75</v>
      </c>
      <c r="R69" s="18" t="n">
        <v>15</v>
      </c>
      <c r="S69" s="18" t="n">
        <v>75</v>
      </c>
      <c r="T69" s="18" t="n">
        <v>15</v>
      </c>
    </row>
    <row r="70">
      <c r="A70" s="17" t="inlineStr">
        <is>
          <t>Lab &amp; Pathology</t>
        </is>
      </c>
      <c r="B70" s="17" t="inlineStr">
        <is>
          <t>Microbiology Cultures Review</t>
        </is>
      </c>
      <c r="C70" s="17" t="inlineStr">
        <is>
          <t>Yes</t>
        </is>
      </c>
      <c r="D70" s="17" t="inlineStr">
        <is>
          <t>T2 - Imaging / advanced diagnostic</t>
        </is>
      </c>
      <c r="E70" s="18" t="n">
        <v>200</v>
      </c>
      <c r="F70" s="18" t="n">
        <v>40</v>
      </c>
      <c r="G70" s="18" t="n">
        <v>250</v>
      </c>
      <c r="H70" s="18" t="n">
        <v>50</v>
      </c>
      <c r="I70" s="18" t="n">
        <v>749</v>
      </c>
      <c r="J70" s="18" t="n">
        <v>149.8</v>
      </c>
      <c r="K70" s="18" t="n">
        <v>749</v>
      </c>
      <c r="L70" s="18" t="n">
        <v>149.8</v>
      </c>
      <c r="M70" s="18" t="n">
        <v>59</v>
      </c>
      <c r="N70" s="18" t="n">
        <v>11.8</v>
      </c>
      <c r="O70" s="18" t="n">
        <v>749</v>
      </c>
      <c r="P70" s="18" t="n">
        <v>149.8</v>
      </c>
      <c r="Q70" s="18" t="n">
        <v>75</v>
      </c>
      <c r="R70" s="18" t="n">
        <v>15</v>
      </c>
      <c r="S70" s="18" t="n">
        <v>75</v>
      </c>
      <c r="T70" s="18" t="n">
        <v>15</v>
      </c>
    </row>
    <row r="71">
      <c r="A71" s="17" t="inlineStr">
        <is>
          <t>Lab &amp; Pathology</t>
        </is>
      </c>
      <c r="B71" s="17" t="inlineStr">
        <is>
          <t>Pap Smear</t>
        </is>
      </c>
      <c r="C71" s="17" t="inlineStr">
        <is>
          <t>Hidden</t>
        </is>
      </c>
      <c r="D71" s="17" t="inlineStr">
        <is>
          <t>T1 - Basic test / report</t>
        </is>
      </c>
      <c r="E71" s="18" t="n">
        <v>120</v>
      </c>
      <c r="F71" s="18" t="n">
        <v>24</v>
      </c>
      <c r="G71" s="18" t="n">
        <v>150</v>
      </c>
      <c r="H71" s="18" t="n">
        <v>30</v>
      </c>
      <c r="I71" s="18" t="n">
        <v>449</v>
      </c>
      <c r="J71" s="18" t="n">
        <v>89.8</v>
      </c>
      <c r="K71" s="18" t="n">
        <v>449</v>
      </c>
      <c r="L71" s="18" t="n">
        <v>89.8</v>
      </c>
      <c r="M71" s="18" t="n">
        <v>35</v>
      </c>
      <c r="N71" s="18" t="n">
        <v>7</v>
      </c>
      <c r="O71" s="18" t="n">
        <v>449</v>
      </c>
      <c r="P71" s="18" t="n">
        <v>89.8</v>
      </c>
      <c r="Q71" s="18" t="n">
        <v>45</v>
      </c>
      <c r="R71" s="18" t="n">
        <v>9</v>
      </c>
      <c r="S71" s="18" t="n">
        <v>45</v>
      </c>
      <c r="T71" s="18" t="n">
        <v>9</v>
      </c>
    </row>
    <row r="72">
      <c r="A72" s="17" t="inlineStr">
        <is>
          <t>Lab &amp; Pathology</t>
        </is>
      </c>
      <c r="B72" s="17" t="inlineStr">
        <is>
          <t>Routine Bloods Panel Review</t>
        </is>
      </c>
      <c r="C72" s="17" t="inlineStr">
        <is>
          <t>Yes</t>
        </is>
      </c>
      <c r="D72" s="17" t="inlineStr">
        <is>
          <t>T1 - Basic test / report</t>
        </is>
      </c>
      <c r="E72" s="18" t="n">
        <v>120</v>
      </c>
      <c r="F72" s="18" t="n">
        <v>24</v>
      </c>
      <c r="G72" s="18" t="n">
        <v>150</v>
      </c>
      <c r="H72" s="18" t="n">
        <v>30</v>
      </c>
      <c r="I72" s="18" t="n">
        <v>449</v>
      </c>
      <c r="J72" s="18" t="n">
        <v>89.8</v>
      </c>
      <c r="K72" s="18" t="n">
        <v>449</v>
      </c>
      <c r="L72" s="18" t="n">
        <v>89.8</v>
      </c>
      <c r="M72" s="18" t="n">
        <v>35</v>
      </c>
      <c r="N72" s="18" t="n">
        <v>7</v>
      </c>
      <c r="O72" s="18" t="n">
        <v>449</v>
      </c>
      <c r="P72" s="18" t="n">
        <v>89.8</v>
      </c>
      <c r="Q72" s="18" t="n">
        <v>45</v>
      </c>
      <c r="R72" s="18" t="n">
        <v>9</v>
      </c>
      <c r="S72" s="18" t="n">
        <v>45</v>
      </c>
      <c r="T72" s="18" t="n">
        <v>9</v>
      </c>
    </row>
    <row r="73">
      <c r="A73" s="17" t="inlineStr">
        <is>
          <t>Lab &amp; Pathology</t>
        </is>
      </c>
      <c r="B73" s="17" t="inlineStr">
        <is>
          <t>Sensitivity Testing</t>
        </is>
      </c>
      <c r="C73" s="17" t="inlineStr">
        <is>
          <t>Hidden</t>
        </is>
      </c>
      <c r="D73" s="17" t="inlineStr">
        <is>
          <t>T2 - Imaging / advanced diagnostic</t>
        </is>
      </c>
      <c r="E73" s="18" t="n">
        <v>200</v>
      </c>
      <c r="F73" s="18" t="n">
        <v>40</v>
      </c>
      <c r="G73" s="18" t="n">
        <v>250</v>
      </c>
      <c r="H73" s="18" t="n">
        <v>50</v>
      </c>
      <c r="I73" s="18" t="n">
        <v>749</v>
      </c>
      <c r="J73" s="18" t="n">
        <v>149.8</v>
      </c>
      <c r="K73" s="18" t="n">
        <v>749</v>
      </c>
      <c r="L73" s="18" t="n">
        <v>149.8</v>
      </c>
      <c r="M73" s="18" t="n">
        <v>59</v>
      </c>
      <c r="N73" s="18" t="n">
        <v>11.8</v>
      </c>
      <c r="O73" s="18" t="n">
        <v>749</v>
      </c>
      <c r="P73" s="18" t="n">
        <v>149.8</v>
      </c>
      <c r="Q73" s="18" t="n">
        <v>75</v>
      </c>
      <c r="R73" s="18" t="n">
        <v>15</v>
      </c>
      <c r="S73" s="18" t="n">
        <v>75</v>
      </c>
      <c r="T73" s="18" t="n">
        <v>15</v>
      </c>
    </row>
    <row r="74">
      <c r="A74" s="17" t="inlineStr">
        <is>
          <t>Lab &amp; Pathology</t>
        </is>
      </c>
      <c r="B74" s="17" t="inlineStr">
        <is>
          <t>Tumor Markers Panel Review</t>
        </is>
      </c>
      <c r="C74" s="17" t="inlineStr">
        <is>
          <t>Yes</t>
        </is>
      </c>
      <c r="D74" s="17" t="inlineStr">
        <is>
          <t>T2 - Imaging / advanced diagnostic</t>
        </is>
      </c>
      <c r="E74" s="18" t="n">
        <v>200</v>
      </c>
      <c r="F74" s="18" t="n">
        <v>40</v>
      </c>
      <c r="G74" s="18" t="n">
        <v>250</v>
      </c>
      <c r="H74" s="18" t="n">
        <v>50</v>
      </c>
      <c r="I74" s="18" t="n">
        <v>749</v>
      </c>
      <c r="J74" s="18" t="n">
        <v>149.8</v>
      </c>
      <c r="K74" s="18" t="n">
        <v>749</v>
      </c>
      <c r="L74" s="18" t="n">
        <v>149.8</v>
      </c>
      <c r="M74" s="18" t="n">
        <v>59</v>
      </c>
      <c r="N74" s="18" t="n">
        <v>11.8</v>
      </c>
      <c r="O74" s="18" t="n">
        <v>749</v>
      </c>
      <c r="P74" s="18" t="n">
        <v>149.8</v>
      </c>
      <c r="Q74" s="18" t="n">
        <v>75</v>
      </c>
      <c r="R74" s="18" t="n">
        <v>15</v>
      </c>
      <c r="S74" s="18" t="n">
        <v>75</v>
      </c>
      <c r="T74" s="18" t="n">
        <v>15</v>
      </c>
    </row>
    <row r="75">
      <c r="A75" s="17" t="inlineStr">
        <is>
          <t>Lab &amp; Pathology</t>
        </is>
      </c>
      <c r="B75" s="17" t="inlineStr">
        <is>
          <t>Urine &amp; Stool Workup Review</t>
        </is>
      </c>
      <c r="C75" s="17" t="inlineStr">
        <is>
          <t>Yes</t>
        </is>
      </c>
      <c r="D75" s="17" t="inlineStr">
        <is>
          <t>T1 - Basic test / report</t>
        </is>
      </c>
      <c r="E75" s="18" t="n">
        <v>120</v>
      </c>
      <c r="F75" s="18" t="n">
        <v>24</v>
      </c>
      <c r="G75" s="18" t="n">
        <v>150</v>
      </c>
      <c r="H75" s="18" t="n">
        <v>30</v>
      </c>
      <c r="I75" s="18" t="n">
        <v>449</v>
      </c>
      <c r="J75" s="18" t="n">
        <v>89.8</v>
      </c>
      <c r="K75" s="18" t="n">
        <v>449</v>
      </c>
      <c r="L75" s="18" t="n">
        <v>89.8</v>
      </c>
      <c r="M75" s="18" t="n">
        <v>35</v>
      </c>
      <c r="N75" s="18" t="n">
        <v>7</v>
      </c>
      <c r="O75" s="18" t="n">
        <v>449</v>
      </c>
      <c r="P75" s="18" t="n">
        <v>89.8</v>
      </c>
      <c r="Q75" s="18" t="n">
        <v>45</v>
      </c>
      <c r="R75" s="18" t="n">
        <v>9</v>
      </c>
      <c r="S75" s="18" t="n">
        <v>45</v>
      </c>
      <c r="T75" s="18" t="n">
        <v>9</v>
      </c>
    </row>
    <row r="76">
      <c r="A76" s="17" t="inlineStr">
        <is>
          <t>Nephrology</t>
        </is>
      </c>
      <c r="B76" s="17" t="inlineStr">
        <is>
          <t>CKD Staging &amp; Management Review</t>
        </is>
      </c>
      <c r="C76" s="17" t="inlineStr">
        <is>
          <t>Yes</t>
        </is>
      </c>
      <c r="D76" s="17" t="inlineStr">
        <is>
          <t>T5 - Pre-op / oncology-grade</t>
        </is>
      </c>
      <c r="E76" s="18" t="n">
        <v>550</v>
      </c>
      <c r="F76" s="18" t="n">
        <v>110</v>
      </c>
      <c r="G76" s="18" t="n">
        <v>600</v>
      </c>
      <c r="H76" s="18" t="n">
        <v>120</v>
      </c>
      <c r="I76" s="18" t="n">
        <v>1899</v>
      </c>
      <c r="J76" s="18" t="n">
        <v>379.8</v>
      </c>
      <c r="K76" s="18" t="n">
        <v>1899</v>
      </c>
      <c r="L76" s="18" t="n">
        <v>379.8</v>
      </c>
      <c r="M76" s="18" t="n">
        <v>149</v>
      </c>
      <c r="N76" s="18" t="n">
        <v>29.8</v>
      </c>
      <c r="O76" s="18" t="n">
        <v>1899</v>
      </c>
      <c r="P76" s="18" t="n">
        <v>379.8</v>
      </c>
      <c r="Q76" s="18" t="n">
        <v>189</v>
      </c>
      <c r="R76" s="18" t="n">
        <v>37.8</v>
      </c>
      <c r="S76" s="18" t="n">
        <v>189</v>
      </c>
      <c r="T76" s="18" t="n">
        <v>37.8</v>
      </c>
    </row>
    <row r="77">
      <c r="A77" s="17" t="inlineStr">
        <is>
          <t>Nephrology</t>
        </is>
      </c>
      <c r="B77" s="17" t="inlineStr">
        <is>
          <t>Dialysis Adequacy Review</t>
        </is>
      </c>
      <c r="C77" s="17" t="inlineStr">
        <is>
          <t>Yes</t>
        </is>
      </c>
      <c r="D77" s="17" t="inlineStr">
        <is>
          <t>T3 - Complex / procedure / management</t>
        </is>
      </c>
      <c r="E77" s="18" t="n">
        <v>350</v>
      </c>
      <c r="F77" s="18" t="n">
        <v>70</v>
      </c>
      <c r="G77" s="18" t="n">
        <v>400</v>
      </c>
      <c r="H77" s="18" t="n">
        <v>80</v>
      </c>
      <c r="I77" s="18" t="n">
        <v>1199</v>
      </c>
      <c r="J77" s="18" t="n">
        <v>239.8</v>
      </c>
      <c r="K77" s="18" t="n">
        <v>1199</v>
      </c>
      <c r="L77" s="18" t="n">
        <v>239.8</v>
      </c>
      <c r="M77" s="18" t="n">
        <v>95</v>
      </c>
      <c r="N77" s="18" t="n">
        <v>19</v>
      </c>
      <c r="O77" s="18" t="n">
        <v>1199</v>
      </c>
      <c r="P77" s="18" t="n">
        <v>239.8</v>
      </c>
      <c r="Q77" s="18" t="n">
        <v>119</v>
      </c>
      <c r="R77" s="18" t="n">
        <v>23.8</v>
      </c>
      <c r="S77" s="18" t="n">
        <v>119</v>
      </c>
      <c r="T77" s="18" t="n">
        <v>23.8</v>
      </c>
    </row>
    <row r="78">
      <c r="A78" s="17" t="inlineStr">
        <is>
          <t>Nephrology</t>
        </is>
      </c>
      <c r="B78" s="17" t="inlineStr">
        <is>
          <t>Hypertension Workup Review</t>
        </is>
      </c>
      <c r="C78" s="17" t="inlineStr">
        <is>
          <t>Yes</t>
        </is>
      </c>
      <c r="D78" s="17" t="inlineStr">
        <is>
          <t>T3 - Complex / procedure / management</t>
        </is>
      </c>
      <c r="E78" s="18" t="n">
        <v>350</v>
      </c>
      <c r="F78" s="18" t="n">
        <v>70</v>
      </c>
      <c r="G78" s="18" t="n">
        <v>400</v>
      </c>
      <c r="H78" s="18" t="n">
        <v>80</v>
      </c>
      <c r="I78" s="18" t="n">
        <v>1199</v>
      </c>
      <c r="J78" s="18" t="n">
        <v>239.8</v>
      </c>
      <c r="K78" s="18" t="n">
        <v>1199</v>
      </c>
      <c r="L78" s="18" t="n">
        <v>239.8</v>
      </c>
      <c r="M78" s="18" t="n">
        <v>95</v>
      </c>
      <c r="N78" s="18" t="n">
        <v>19</v>
      </c>
      <c r="O78" s="18" t="n">
        <v>1199</v>
      </c>
      <c r="P78" s="18" t="n">
        <v>239.8</v>
      </c>
      <c r="Q78" s="18" t="n">
        <v>119</v>
      </c>
      <c r="R78" s="18" t="n">
        <v>23.8</v>
      </c>
      <c r="S78" s="18" t="n">
        <v>119</v>
      </c>
      <c r="T78" s="18" t="n">
        <v>23.8</v>
      </c>
    </row>
    <row r="79">
      <c r="A79" s="17" t="inlineStr">
        <is>
          <t>Nephrology</t>
        </is>
      </c>
      <c r="B79" s="17" t="inlineStr">
        <is>
          <t>Kidney Biopsy Report Review</t>
        </is>
      </c>
      <c r="C79" s="17" t="inlineStr">
        <is>
          <t>Yes</t>
        </is>
      </c>
      <c r="D79" s="17" t="inlineStr">
        <is>
          <t>T3 - Complex / procedure / management</t>
        </is>
      </c>
      <c r="E79" s="18" t="n">
        <v>350</v>
      </c>
      <c r="F79" s="18" t="n">
        <v>70</v>
      </c>
      <c r="G79" s="18" t="n">
        <v>400</v>
      </c>
      <c r="H79" s="18" t="n">
        <v>80</v>
      </c>
      <c r="I79" s="18" t="n">
        <v>1199</v>
      </c>
      <c r="J79" s="18" t="n">
        <v>239.8</v>
      </c>
      <c r="K79" s="18" t="n">
        <v>1199</v>
      </c>
      <c r="L79" s="18" t="n">
        <v>239.8</v>
      </c>
      <c r="M79" s="18" t="n">
        <v>95</v>
      </c>
      <c r="N79" s="18" t="n">
        <v>19</v>
      </c>
      <c r="O79" s="18" t="n">
        <v>1199</v>
      </c>
      <c r="P79" s="18" t="n">
        <v>239.8</v>
      </c>
      <c r="Q79" s="18" t="n">
        <v>119</v>
      </c>
      <c r="R79" s="18" t="n">
        <v>23.8</v>
      </c>
      <c r="S79" s="18" t="n">
        <v>119</v>
      </c>
      <c r="T79" s="18" t="n">
        <v>23.8</v>
      </c>
    </row>
    <row r="80">
      <c r="A80" s="17" t="inlineStr">
        <is>
          <t>Nephrology</t>
        </is>
      </c>
      <c r="B80" s="17" t="inlineStr">
        <is>
          <t>Kidney Function Panel Review</t>
        </is>
      </c>
      <c r="C80" s="17" t="inlineStr">
        <is>
          <t>Yes</t>
        </is>
      </c>
      <c r="D80" s="17" t="inlineStr">
        <is>
          <t>T2 - Imaging / advanced diagnostic</t>
        </is>
      </c>
      <c r="E80" s="18" t="n">
        <v>200</v>
      </c>
      <c r="F80" s="18" t="n">
        <v>40</v>
      </c>
      <c r="G80" s="18" t="n">
        <v>250</v>
      </c>
      <c r="H80" s="18" t="n">
        <v>50</v>
      </c>
      <c r="I80" s="18" t="n">
        <v>749</v>
      </c>
      <c r="J80" s="18" t="n">
        <v>149.8</v>
      </c>
      <c r="K80" s="18" t="n">
        <v>749</v>
      </c>
      <c r="L80" s="18" t="n">
        <v>149.8</v>
      </c>
      <c r="M80" s="18" t="n">
        <v>59</v>
      </c>
      <c r="N80" s="18" t="n">
        <v>11.8</v>
      </c>
      <c r="O80" s="18" t="n">
        <v>749</v>
      </c>
      <c r="P80" s="18" t="n">
        <v>149.8</v>
      </c>
      <c r="Q80" s="18" t="n">
        <v>75</v>
      </c>
      <c r="R80" s="18" t="n">
        <v>15</v>
      </c>
      <c r="S80" s="18" t="n">
        <v>75</v>
      </c>
      <c r="T80" s="18" t="n">
        <v>15</v>
      </c>
    </row>
    <row r="81">
      <c r="A81" s="17" t="inlineStr">
        <is>
          <t>Nephrology</t>
        </is>
      </c>
      <c r="B81" s="17" t="inlineStr">
        <is>
          <t>Kidney Stone CT Review</t>
        </is>
      </c>
      <c r="C81" s="17" t="inlineStr">
        <is>
          <t>Yes</t>
        </is>
      </c>
      <c r="D81" s="17" t="inlineStr">
        <is>
          <t>T2 - Imaging / advanced diagnostic</t>
        </is>
      </c>
      <c r="E81" s="18" t="n">
        <v>200</v>
      </c>
      <c r="F81" s="18" t="n">
        <v>40</v>
      </c>
      <c r="G81" s="18" t="n">
        <v>250</v>
      </c>
      <c r="H81" s="18" t="n">
        <v>50</v>
      </c>
      <c r="I81" s="18" t="n">
        <v>749</v>
      </c>
      <c r="J81" s="18" t="n">
        <v>149.8</v>
      </c>
      <c r="K81" s="18" t="n">
        <v>749</v>
      </c>
      <c r="L81" s="18" t="n">
        <v>149.8</v>
      </c>
      <c r="M81" s="18" t="n">
        <v>59</v>
      </c>
      <c r="N81" s="18" t="n">
        <v>11.8</v>
      </c>
      <c r="O81" s="18" t="n">
        <v>749</v>
      </c>
      <c r="P81" s="18" t="n">
        <v>149.8</v>
      </c>
      <c r="Q81" s="18" t="n">
        <v>75</v>
      </c>
      <c r="R81" s="18" t="n">
        <v>15</v>
      </c>
      <c r="S81" s="18" t="n">
        <v>75</v>
      </c>
      <c r="T81" s="18" t="n">
        <v>15</v>
      </c>
    </row>
    <row r="82">
      <c r="A82" s="17" t="inlineStr">
        <is>
          <t>Nephrology</t>
        </is>
      </c>
      <c r="B82" s="17" t="inlineStr">
        <is>
          <t>Kidney Ultrasound Review</t>
        </is>
      </c>
      <c r="C82" s="17" t="inlineStr">
        <is>
          <t>Yes</t>
        </is>
      </c>
      <c r="D82" s="17" t="inlineStr">
        <is>
          <t>T1 - Basic test / report</t>
        </is>
      </c>
      <c r="E82" s="18" t="n">
        <v>120</v>
      </c>
      <c r="F82" s="18" t="n">
        <v>24</v>
      </c>
      <c r="G82" s="18" t="n">
        <v>150</v>
      </c>
      <c r="H82" s="18" t="n">
        <v>30</v>
      </c>
      <c r="I82" s="18" t="n">
        <v>449</v>
      </c>
      <c r="J82" s="18" t="n">
        <v>89.8</v>
      </c>
      <c r="K82" s="18" t="n">
        <v>449</v>
      </c>
      <c r="L82" s="18" t="n">
        <v>89.8</v>
      </c>
      <c r="M82" s="18" t="n">
        <v>35</v>
      </c>
      <c r="N82" s="18" t="n">
        <v>7</v>
      </c>
      <c r="O82" s="18" t="n">
        <v>449</v>
      </c>
      <c r="P82" s="18" t="n">
        <v>89.8</v>
      </c>
      <c r="Q82" s="18" t="n">
        <v>45</v>
      </c>
      <c r="R82" s="18" t="n">
        <v>9</v>
      </c>
      <c r="S82" s="18" t="n">
        <v>45</v>
      </c>
      <c r="T82" s="18" t="n">
        <v>9</v>
      </c>
    </row>
    <row r="83">
      <c r="A83" s="17" t="inlineStr">
        <is>
          <t>Nephrology</t>
        </is>
      </c>
      <c r="B83" s="17" t="inlineStr">
        <is>
          <t>Proteinuria Workup Review</t>
        </is>
      </c>
      <c r="C83" s="17" t="inlineStr">
        <is>
          <t>Yes</t>
        </is>
      </c>
      <c r="D83" s="17" t="inlineStr">
        <is>
          <t>T3 - Complex / procedure / management</t>
        </is>
      </c>
      <c r="E83" s="18" t="n">
        <v>350</v>
      </c>
      <c r="F83" s="18" t="n">
        <v>70</v>
      </c>
      <c r="G83" s="18" t="n">
        <v>400</v>
      </c>
      <c r="H83" s="18" t="n">
        <v>80</v>
      </c>
      <c r="I83" s="18" t="n">
        <v>1199</v>
      </c>
      <c r="J83" s="18" t="n">
        <v>239.8</v>
      </c>
      <c r="K83" s="18" t="n">
        <v>1199</v>
      </c>
      <c r="L83" s="18" t="n">
        <v>239.8</v>
      </c>
      <c r="M83" s="18" t="n">
        <v>95</v>
      </c>
      <c r="N83" s="18" t="n">
        <v>19</v>
      </c>
      <c r="O83" s="18" t="n">
        <v>1199</v>
      </c>
      <c r="P83" s="18" t="n">
        <v>239.8</v>
      </c>
      <c r="Q83" s="18" t="n">
        <v>119</v>
      </c>
      <c r="R83" s="18" t="n">
        <v>23.8</v>
      </c>
      <c r="S83" s="18" t="n">
        <v>119</v>
      </c>
      <c r="T83" s="18" t="n">
        <v>23.8</v>
      </c>
    </row>
    <row r="84">
      <c r="A84" s="17" t="inlineStr">
        <is>
          <t>Neurology</t>
        </is>
      </c>
      <c r="B84" s="17" t="inlineStr">
        <is>
          <t>Brain CT Review</t>
        </is>
      </c>
      <c r="C84" s="17" t="inlineStr">
        <is>
          <t>Yes</t>
        </is>
      </c>
      <c r="D84" s="17" t="inlineStr">
        <is>
          <t>T2 - Imaging / advanced diagnostic</t>
        </is>
      </c>
      <c r="E84" s="18" t="n">
        <v>200</v>
      </c>
      <c r="F84" s="18" t="n">
        <v>40</v>
      </c>
      <c r="G84" s="18" t="n">
        <v>250</v>
      </c>
      <c r="H84" s="18" t="n">
        <v>50</v>
      </c>
      <c r="I84" s="18" t="n">
        <v>749</v>
      </c>
      <c r="J84" s="18" t="n">
        <v>149.8</v>
      </c>
      <c r="K84" s="18" t="n">
        <v>749</v>
      </c>
      <c r="L84" s="18" t="n">
        <v>149.8</v>
      </c>
      <c r="M84" s="18" t="n">
        <v>59</v>
      </c>
      <c r="N84" s="18" t="n">
        <v>11.8</v>
      </c>
      <c r="O84" s="18" t="n">
        <v>749</v>
      </c>
      <c r="P84" s="18" t="n">
        <v>149.8</v>
      </c>
      <c r="Q84" s="18" t="n">
        <v>75</v>
      </c>
      <c r="R84" s="18" t="n">
        <v>15</v>
      </c>
      <c r="S84" s="18" t="n">
        <v>75</v>
      </c>
      <c r="T84" s="18" t="n">
        <v>15</v>
      </c>
    </row>
    <row r="85">
      <c r="A85" s="17" t="inlineStr">
        <is>
          <t>Neurology</t>
        </is>
      </c>
      <c r="B85" s="17" t="inlineStr">
        <is>
          <t>Brain MRI Review</t>
        </is>
      </c>
      <c r="C85" s="17" t="inlineStr">
        <is>
          <t>Yes</t>
        </is>
      </c>
      <c r="D85" s="17" t="inlineStr">
        <is>
          <t>T2 - Imaging / advanced diagnostic</t>
        </is>
      </c>
      <c r="E85" s="18" t="n">
        <v>200</v>
      </c>
      <c r="F85" s="18" t="n">
        <v>40</v>
      </c>
      <c r="G85" s="18" t="n">
        <v>250</v>
      </c>
      <c r="H85" s="18" t="n">
        <v>50</v>
      </c>
      <c r="I85" s="18" t="n">
        <v>749</v>
      </c>
      <c r="J85" s="18" t="n">
        <v>149.8</v>
      </c>
      <c r="K85" s="18" t="n">
        <v>749</v>
      </c>
      <c r="L85" s="18" t="n">
        <v>149.8</v>
      </c>
      <c r="M85" s="18" t="n">
        <v>59</v>
      </c>
      <c r="N85" s="18" t="n">
        <v>11.8</v>
      </c>
      <c r="O85" s="18" t="n">
        <v>749</v>
      </c>
      <c r="P85" s="18" t="n">
        <v>149.8</v>
      </c>
      <c r="Q85" s="18" t="n">
        <v>75</v>
      </c>
      <c r="R85" s="18" t="n">
        <v>15</v>
      </c>
      <c r="S85" s="18" t="n">
        <v>75</v>
      </c>
      <c r="T85" s="18" t="n">
        <v>15</v>
      </c>
    </row>
    <row r="86">
      <c r="A86" s="17" t="inlineStr">
        <is>
          <t>Neurology</t>
        </is>
      </c>
      <c r="B86" s="17" t="inlineStr">
        <is>
          <t>EEG Interpretation</t>
        </is>
      </c>
      <c r="C86" s="17" t="inlineStr">
        <is>
          <t>Yes</t>
        </is>
      </c>
      <c r="D86" s="17" t="inlineStr">
        <is>
          <t>T3 - Complex / procedure / management</t>
        </is>
      </c>
      <c r="E86" s="18" t="n">
        <v>350</v>
      </c>
      <c r="F86" s="18" t="n">
        <v>70</v>
      </c>
      <c r="G86" s="18" t="n">
        <v>400</v>
      </c>
      <c r="H86" s="18" t="n">
        <v>80</v>
      </c>
      <c r="I86" s="18" t="n">
        <v>1199</v>
      </c>
      <c r="J86" s="18" t="n">
        <v>239.8</v>
      </c>
      <c r="K86" s="18" t="n">
        <v>1199</v>
      </c>
      <c r="L86" s="18" t="n">
        <v>239.8</v>
      </c>
      <c r="M86" s="18" t="n">
        <v>95</v>
      </c>
      <c r="N86" s="18" t="n">
        <v>19</v>
      </c>
      <c r="O86" s="18" t="n">
        <v>1199</v>
      </c>
      <c r="P86" s="18" t="n">
        <v>239.8</v>
      </c>
      <c r="Q86" s="18" t="n">
        <v>119</v>
      </c>
      <c r="R86" s="18" t="n">
        <v>23.8</v>
      </c>
      <c r="S86" s="18" t="n">
        <v>119</v>
      </c>
      <c r="T86" s="18" t="n">
        <v>23.8</v>
      </c>
    </row>
    <row r="87">
      <c r="A87" s="17" t="inlineStr">
        <is>
          <t>Neurology</t>
        </is>
      </c>
      <c r="B87" s="17" t="inlineStr">
        <is>
          <t>EMG/NCS Review</t>
        </is>
      </c>
      <c r="C87" s="17" t="inlineStr">
        <is>
          <t>Yes</t>
        </is>
      </c>
      <c r="D87" s="17" t="inlineStr">
        <is>
          <t>T2 - Imaging / advanced diagnostic</t>
        </is>
      </c>
      <c r="E87" s="18" t="n">
        <v>200</v>
      </c>
      <c r="F87" s="18" t="n">
        <v>40</v>
      </c>
      <c r="G87" s="18" t="n">
        <v>250</v>
      </c>
      <c r="H87" s="18" t="n">
        <v>50</v>
      </c>
      <c r="I87" s="18" t="n">
        <v>749</v>
      </c>
      <c r="J87" s="18" t="n">
        <v>149.8</v>
      </c>
      <c r="K87" s="18" t="n">
        <v>749</v>
      </c>
      <c r="L87" s="18" t="n">
        <v>149.8</v>
      </c>
      <c r="M87" s="18" t="n">
        <v>59</v>
      </c>
      <c r="N87" s="18" t="n">
        <v>11.8</v>
      </c>
      <c r="O87" s="18" t="n">
        <v>749</v>
      </c>
      <c r="P87" s="18" t="n">
        <v>149.8</v>
      </c>
      <c r="Q87" s="18" t="n">
        <v>75</v>
      </c>
      <c r="R87" s="18" t="n">
        <v>15</v>
      </c>
      <c r="S87" s="18" t="n">
        <v>75</v>
      </c>
      <c r="T87" s="18" t="n">
        <v>15</v>
      </c>
    </row>
    <row r="88">
      <c r="A88" s="17" t="inlineStr">
        <is>
          <t>Neurology</t>
        </is>
      </c>
      <c r="B88" s="17" t="inlineStr">
        <is>
          <t>Epilepsy Imaging Review</t>
        </is>
      </c>
      <c r="C88" s="17" t="inlineStr">
        <is>
          <t>Hidden</t>
        </is>
      </c>
      <c r="D88" s="17" t="inlineStr">
        <is>
          <t>T2 - Imaging / advanced diagnostic</t>
        </is>
      </c>
      <c r="E88" s="18" t="n">
        <v>200</v>
      </c>
      <c r="F88" s="18" t="n">
        <v>40</v>
      </c>
      <c r="G88" s="18" t="n">
        <v>250</v>
      </c>
      <c r="H88" s="18" t="n">
        <v>50</v>
      </c>
      <c r="I88" s="18" t="n">
        <v>749</v>
      </c>
      <c r="J88" s="18" t="n">
        <v>149.8</v>
      </c>
      <c r="K88" s="18" t="n">
        <v>749</v>
      </c>
      <c r="L88" s="18" t="n">
        <v>149.8</v>
      </c>
      <c r="M88" s="18" t="n">
        <v>59</v>
      </c>
      <c r="N88" s="18" t="n">
        <v>11.8</v>
      </c>
      <c r="O88" s="18" t="n">
        <v>749</v>
      </c>
      <c r="P88" s="18" t="n">
        <v>149.8</v>
      </c>
      <c r="Q88" s="18" t="n">
        <v>75</v>
      </c>
      <c r="R88" s="18" t="n">
        <v>15</v>
      </c>
      <c r="S88" s="18" t="n">
        <v>75</v>
      </c>
      <c r="T88" s="18" t="n">
        <v>15</v>
      </c>
    </row>
    <row r="89">
      <c r="A89" s="17" t="inlineStr">
        <is>
          <t>Neurology</t>
        </is>
      </c>
      <c r="B89" s="17" t="inlineStr">
        <is>
          <t>Neuro CTA Review</t>
        </is>
      </c>
      <c r="C89" s="17" t="inlineStr">
        <is>
          <t>Yes</t>
        </is>
      </c>
      <c r="D89" s="17" t="inlineStr">
        <is>
          <t>T2 - Imaging / advanced diagnostic</t>
        </is>
      </c>
      <c r="E89" s="18" t="n">
        <v>200</v>
      </c>
      <c r="F89" s="18" t="n">
        <v>40</v>
      </c>
      <c r="G89" s="18" t="n">
        <v>250</v>
      </c>
      <c r="H89" s="18" t="n">
        <v>50</v>
      </c>
      <c r="I89" s="18" t="n">
        <v>749</v>
      </c>
      <c r="J89" s="18" t="n">
        <v>149.8</v>
      </c>
      <c r="K89" s="18" t="n">
        <v>749</v>
      </c>
      <c r="L89" s="18" t="n">
        <v>149.8</v>
      </c>
      <c r="M89" s="18" t="n">
        <v>59</v>
      </c>
      <c r="N89" s="18" t="n">
        <v>11.8</v>
      </c>
      <c r="O89" s="18" t="n">
        <v>749</v>
      </c>
      <c r="P89" s="18" t="n">
        <v>149.8</v>
      </c>
      <c r="Q89" s="18" t="n">
        <v>75</v>
      </c>
      <c r="R89" s="18" t="n">
        <v>15</v>
      </c>
      <c r="S89" s="18" t="n">
        <v>75</v>
      </c>
      <c r="T89" s="18" t="n">
        <v>15</v>
      </c>
    </row>
    <row r="90">
      <c r="A90" s="17" t="inlineStr">
        <is>
          <t>Neurology</t>
        </is>
      </c>
      <c r="B90" s="17" t="inlineStr">
        <is>
          <t>Neuro MRA Review</t>
        </is>
      </c>
      <c r="C90" s="17" t="inlineStr">
        <is>
          <t>Yes</t>
        </is>
      </c>
      <c r="D90" s="17" t="inlineStr">
        <is>
          <t>T2 - Imaging / advanced diagnostic</t>
        </is>
      </c>
      <c r="E90" s="18" t="n">
        <v>200</v>
      </c>
      <c r="F90" s="18" t="n">
        <v>40</v>
      </c>
      <c r="G90" s="18" t="n">
        <v>250</v>
      </c>
      <c r="H90" s="18" t="n">
        <v>50</v>
      </c>
      <c r="I90" s="18" t="n">
        <v>749</v>
      </c>
      <c r="J90" s="18" t="n">
        <v>149.8</v>
      </c>
      <c r="K90" s="18" t="n">
        <v>749</v>
      </c>
      <c r="L90" s="18" t="n">
        <v>149.8</v>
      </c>
      <c r="M90" s="18" t="n">
        <v>59</v>
      </c>
      <c r="N90" s="18" t="n">
        <v>11.8</v>
      </c>
      <c r="O90" s="18" t="n">
        <v>749</v>
      </c>
      <c r="P90" s="18" t="n">
        <v>149.8</v>
      </c>
      <c r="Q90" s="18" t="n">
        <v>75</v>
      </c>
      <c r="R90" s="18" t="n">
        <v>15</v>
      </c>
      <c r="S90" s="18" t="n">
        <v>75</v>
      </c>
      <c r="T90" s="18" t="n">
        <v>15</v>
      </c>
    </row>
    <row r="91">
      <c r="A91" s="17" t="inlineStr">
        <is>
          <t>Neurology</t>
        </is>
      </c>
      <c r="B91" s="17" t="inlineStr">
        <is>
          <t>Neuro Spine MRI Review</t>
        </is>
      </c>
      <c r="C91" s="17" t="inlineStr">
        <is>
          <t>Yes</t>
        </is>
      </c>
      <c r="D91" s="17" t="inlineStr">
        <is>
          <t>T2 - Imaging / advanced diagnostic</t>
        </is>
      </c>
      <c r="E91" s="18" t="n">
        <v>200</v>
      </c>
      <c r="F91" s="18" t="n">
        <v>40</v>
      </c>
      <c r="G91" s="18" t="n">
        <v>250</v>
      </c>
      <c r="H91" s="18" t="n">
        <v>50</v>
      </c>
      <c r="I91" s="18" t="n">
        <v>749</v>
      </c>
      <c r="J91" s="18" t="n">
        <v>149.8</v>
      </c>
      <c r="K91" s="18" t="n">
        <v>749</v>
      </c>
      <c r="L91" s="18" t="n">
        <v>149.8</v>
      </c>
      <c r="M91" s="18" t="n">
        <v>59</v>
      </c>
      <c r="N91" s="18" t="n">
        <v>11.8</v>
      </c>
      <c r="O91" s="18" t="n">
        <v>749</v>
      </c>
      <c r="P91" s="18" t="n">
        <v>149.8</v>
      </c>
      <c r="Q91" s="18" t="n">
        <v>75</v>
      </c>
      <c r="R91" s="18" t="n">
        <v>15</v>
      </c>
      <c r="S91" s="18" t="n">
        <v>75</v>
      </c>
      <c r="T91" s="18" t="n">
        <v>15</v>
      </c>
    </row>
    <row r="92">
      <c r="A92" s="17" t="inlineStr">
        <is>
          <t>Neurology</t>
        </is>
      </c>
      <c r="B92" s="17" t="inlineStr">
        <is>
          <t>Neurovascular Review</t>
        </is>
      </c>
      <c r="C92" s="17" t="inlineStr">
        <is>
          <t>Hidden</t>
        </is>
      </c>
      <c r="D92" s="17" t="inlineStr">
        <is>
          <t>T2 - Imaging / advanced diagnostic</t>
        </is>
      </c>
      <c r="E92" s="18" t="n">
        <v>200</v>
      </c>
      <c r="F92" s="18" t="n">
        <v>40</v>
      </c>
      <c r="G92" s="18" t="n">
        <v>250</v>
      </c>
      <c r="H92" s="18" t="n">
        <v>50</v>
      </c>
      <c r="I92" s="18" t="n">
        <v>749</v>
      </c>
      <c r="J92" s="18" t="n">
        <v>149.8</v>
      </c>
      <c r="K92" s="18" t="n">
        <v>749</v>
      </c>
      <c r="L92" s="18" t="n">
        <v>149.8</v>
      </c>
      <c r="M92" s="18" t="n">
        <v>59</v>
      </c>
      <c r="N92" s="18" t="n">
        <v>11.8</v>
      </c>
      <c r="O92" s="18" t="n">
        <v>749</v>
      </c>
      <c r="P92" s="18" t="n">
        <v>149.8</v>
      </c>
      <c r="Q92" s="18" t="n">
        <v>75</v>
      </c>
      <c r="R92" s="18" t="n">
        <v>15</v>
      </c>
      <c r="S92" s="18" t="n">
        <v>75</v>
      </c>
      <c r="T92" s="18" t="n">
        <v>15</v>
      </c>
    </row>
    <row r="93">
      <c r="A93" s="17" t="inlineStr">
        <is>
          <t>Neurology</t>
        </is>
      </c>
      <c r="B93" s="17" t="inlineStr">
        <is>
          <t>Perfusion Imaging Review</t>
        </is>
      </c>
      <c r="C93" s="17" t="inlineStr">
        <is>
          <t>Hidden</t>
        </is>
      </c>
      <c r="D93" s="17" t="inlineStr">
        <is>
          <t>T2 - Imaging / advanced diagnostic</t>
        </is>
      </c>
      <c r="E93" s="18" t="n">
        <v>200</v>
      </c>
      <c r="F93" s="18" t="n">
        <v>40</v>
      </c>
      <c r="G93" s="18" t="n">
        <v>250</v>
      </c>
      <c r="H93" s="18" t="n">
        <v>50</v>
      </c>
      <c r="I93" s="18" t="n">
        <v>749</v>
      </c>
      <c r="J93" s="18" t="n">
        <v>149.8</v>
      </c>
      <c r="K93" s="18" t="n">
        <v>749</v>
      </c>
      <c r="L93" s="18" t="n">
        <v>149.8</v>
      </c>
      <c r="M93" s="18" t="n">
        <v>59</v>
      </c>
      <c r="N93" s="18" t="n">
        <v>11.8</v>
      </c>
      <c r="O93" s="18" t="n">
        <v>749</v>
      </c>
      <c r="P93" s="18" t="n">
        <v>149.8</v>
      </c>
      <c r="Q93" s="18" t="n">
        <v>75</v>
      </c>
      <c r="R93" s="18" t="n">
        <v>15</v>
      </c>
      <c r="S93" s="18" t="n">
        <v>75</v>
      </c>
      <c r="T93" s="18" t="n">
        <v>15</v>
      </c>
    </row>
    <row r="94">
      <c r="A94" s="17" t="inlineStr">
        <is>
          <t>Neurology</t>
        </is>
      </c>
      <c r="B94" s="17" t="inlineStr">
        <is>
          <t>Stroke Imaging Review</t>
        </is>
      </c>
      <c r="C94" s="17" t="inlineStr">
        <is>
          <t>Hidden</t>
        </is>
      </c>
      <c r="D94" s="17" t="inlineStr">
        <is>
          <t>T2 - Imaging / advanced diagnostic</t>
        </is>
      </c>
      <c r="E94" s="18" t="n">
        <v>200</v>
      </c>
      <c r="F94" s="18" t="n">
        <v>40</v>
      </c>
      <c r="G94" s="18" t="n">
        <v>250</v>
      </c>
      <c r="H94" s="18" t="n">
        <v>50</v>
      </c>
      <c r="I94" s="18" t="n">
        <v>749</v>
      </c>
      <c r="J94" s="18" t="n">
        <v>149.8</v>
      </c>
      <c r="K94" s="18" t="n">
        <v>749</v>
      </c>
      <c r="L94" s="18" t="n">
        <v>149.8</v>
      </c>
      <c r="M94" s="18" t="n">
        <v>59</v>
      </c>
      <c r="N94" s="18" t="n">
        <v>11.8</v>
      </c>
      <c r="O94" s="18" t="n">
        <v>749</v>
      </c>
      <c r="P94" s="18" t="n">
        <v>149.8</v>
      </c>
      <c r="Q94" s="18" t="n">
        <v>75</v>
      </c>
      <c r="R94" s="18" t="n">
        <v>15</v>
      </c>
      <c r="S94" s="18" t="n">
        <v>75</v>
      </c>
      <c r="T94" s="18" t="n">
        <v>15</v>
      </c>
    </row>
    <row r="95">
      <c r="A95" s="17" t="inlineStr">
        <is>
          <t>OB/GYN</t>
        </is>
      </c>
      <c r="B95" s="17" t="inlineStr">
        <is>
          <t>Fertility Panel Review</t>
        </is>
      </c>
      <c r="C95" s="17" t="inlineStr">
        <is>
          <t>Yes</t>
        </is>
      </c>
      <c r="D95" s="17" t="inlineStr">
        <is>
          <t>T2 - Imaging / advanced diagnostic</t>
        </is>
      </c>
      <c r="E95" s="18" t="n">
        <v>200</v>
      </c>
      <c r="F95" s="18" t="n">
        <v>40</v>
      </c>
      <c r="G95" s="18" t="n">
        <v>250</v>
      </c>
      <c r="H95" s="18" t="n">
        <v>50</v>
      </c>
      <c r="I95" s="18" t="n">
        <v>749</v>
      </c>
      <c r="J95" s="18" t="n">
        <v>149.8</v>
      </c>
      <c r="K95" s="18" t="n">
        <v>749</v>
      </c>
      <c r="L95" s="18" t="n">
        <v>149.8</v>
      </c>
      <c r="M95" s="18" t="n">
        <v>59</v>
      </c>
      <c r="N95" s="18" t="n">
        <v>11.8</v>
      </c>
      <c r="O95" s="18" t="n">
        <v>749</v>
      </c>
      <c r="P95" s="18" t="n">
        <v>149.8</v>
      </c>
      <c r="Q95" s="18" t="n">
        <v>75</v>
      </c>
      <c r="R95" s="18" t="n">
        <v>15</v>
      </c>
      <c r="S95" s="18" t="n">
        <v>75</v>
      </c>
      <c r="T95" s="18" t="n">
        <v>15</v>
      </c>
    </row>
    <row r="96">
      <c r="A96" s="17" t="inlineStr">
        <is>
          <t>OB/GYN</t>
        </is>
      </c>
      <c r="B96" s="17" t="inlineStr">
        <is>
          <t>Fetal Echocardiography Review</t>
        </is>
      </c>
      <c r="C96" s="17" t="inlineStr">
        <is>
          <t>Yes</t>
        </is>
      </c>
      <c r="D96" s="17" t="inlineStr">
        <is>
          <t>T3 - Complex / procedure / management</t>
        </is>
      </c>
      <c r="E96" s="18" t="n">
        <v>350</v>
      </c>
      <c r="F96" s="18" t="n">
        <v>70</v>
      </c>
      <c r="G96" s="18" t="n">
        <v>400</v>
      </c>
      <c r="H96" s="18" t="n">
        <v>80</v>
      </c>
      <c r="I96" s="18" t="n">
        <v>1199</v>
      </c>
      <c r="J96" s="18" t="n">
        <v>239.8</v>
      </c>
      <c r="K96" s="18" t="n">
        <v>1199</v>
      </c>
      <c r="L96" s="18" t="n">
        <v>239.8</v>
      </c>
      <c r="M96" s="18" t="n">
        <v>95</v>
      </c>
      <c r="N96" s="18" t="n">
        <v>19</v>
      </c>
      <c r="O96" s="18" t="n">
        <v>1199</v>
      </c>
      <c r="P96" s="18" t="n">
        <v>239.8</v>
      </c>
      <c r="Q96" s="18" t="n">
        <v>119</v>
      </c>
      <c r="R96" s="18" t="n">
        <v>23.8</v>
      </c>
      <c r="S96" s="18" t="n">
        <v>119</v>
      </c>
      <c r="T96" s="18" t="n">
        <v>23.8</v>
      </c>
    </row>
    <row r="97">
      <c r="A97" s="17" t="inlineStr">
        <is>
          <t>OB/GYN</t>
        </is>
      </c>
      <c r="B97" s="17" t="inlineStr">
        <is>
          <t>Fibroid Management Review</t>
        </is>
      </c>
      <c r="C97" s="17" t="inlineStr">
        <is>
          <t>Yes</t>
        </is>
      </c>
      <c r="D97" s="17" t="inlineStr">
        <is>
          <t>T3 - Complex / procedure / management</t>
        </is>
      </c>
      <c r="E97" s="18" t="n">
        <v>350</v>
      </c>
      <c r="F97" s="18" t="n">
        <v>70</v>
      </c>
      <c r="G97" s="18" t="n">
        <v>400</v>
      </c>
      <c r="H97" s="18" t="n">
        <v>80</v>
      </c>
      <c r="I97" s="18" t="n">
        <v>1199</v>
      </c>
      <c r="J97" s="18" t="n">
        <v>239.8</v>
      </c>
      <c r="K97" s="18" t="n">
        <v>1199</v>
      </c>
      <c r="L97" s="18" t="n">
        <v>239.8</v>
      </c>
      <c r="M97" s="18" t="n">
        <v>95</v>
      </c>
      <c r="N97" s="18" t="n">
        <v>19</v>
      </c>
      <c r="O97" s="18" t="n">
        <v>1199</v>
      </c>
      <c r="P97" s="18" t="n">
        <v>239.8</v>
      </c>
      <c r="Q97" s="18" t="n">
        <v>119</v>
      </c>
      <c r="R97" s="18" t="n">
        <v>23.8</v>
      </c>
      <c r="S97" s="18" t="n">
        <v>119</v>
      </c>
      <c r="T97" s="18" t="n">
        <v>23.8</v>
      </c>
    </row>
    <row r="98">
      <c r="A98" s="17" t="inlineStr">
        <is>
          <t>OB/GYN</t>
        </is>
      </c>
      <c r="B98" s="17" t="inlineStr">
        <is>
          <t>Gynaecological Ultrasound Review</t>
        </is>
      </c>
      <c r="C98" s="17" t="inlineStr">
        <is>
          <t>Yes</t>
        </is>
      </c>
      <c r="D98" s="17" t="inlineStr">
        <is>
          <t>T1 - Basic test / report</t>
        </is>
      </c>
      <c r="E98" s="18" t="n">
        <v>120</v>
      </c>
      <c r="F98" s="18" t="n">
        <v>24</v>
      </c>
      <c r="G98" s="18" t="n">
        <v>150</v>
      </c>
      <c r="H98" s="18" t="n">
        <v>30</v>
      </c>
      <c r="I98" s="18" t="n">
        <v>449</v>
      </c>
      <c r="J98" s="18" t="n">
        <v>89.8</v>
      </c>
      <c r="K98" s="18" t="n">
        <v>449</v>
      </c>
      <c r="L98" s="18" t="n">
        <v>89.8</v>
      </c>
      <c r="M98" s="18" t="n">
        <v>35</v>
      </c>
      <c r="N98" s="18" t="n">
        <v>7</v>
      </c>
      <c r="O98" s="18" t="n">
        <v>449</v>
      </c>
      <c r="P98" s="18" t="n">
        <v>89.8</v>
      </c>
      <c r="Q98" s="18" t="n">
        <v>45</v>
      </c>
      <c r="R98" s="18" t="n">
        <v>9</v>
      </c>
      <c r="S98" s="18" t="n">
        <v>45</v>
      </c>
      <c r="T98" s="18" t="n">
        <v>9</v>
      </c>
    </row>
    <row r="99">
      <c r="A99" s="17" t="inlineStr">
        <is>
          <t>OB/GYN</t>
        </is>
      </c>
      <c r="B99" s="17" t="inlineStr">
        <is>
          <t>HSG Report Review</t>
        </is>
      </c>
      <c r="C99" s="17" t="inlineStr">
        <is>
          <t>Yes</t>
        </is>
      </c>
      <c r="D99" s="17" t="inlineStr">
        <is>
          <t>T2 - Imaging / advanced diagnostic</t>
        </is>
      </c>
      <c r="E99" s="18" t="n">
        <v>200</v>
      </c>
      <c r="F99" s="18" t="n">
        <v>40</v>
      </c>
      <c r="G99" s="18" t="n">
        <v>250</v>
      </c>
      <c r="H99" s="18" t="n">
        <v>50</v>
      </c>
      <c r="I99" s="18" t="n">
        <v>749</v>
      </c>
      <c r="J99" s="18" t="n">
        <v>149.8</v>
      </c>
      <c r="K99" s="18" t="n">
        <v>749</v>
      </c>
      <c r="L99" s="18" t="n">
        <v>149.8</v>
      </c>
      <c r="M99" s="18" t="n">
        <v>59</v>
      </c>
      <c r="N99" s="18" t="n">
        <v>11.8</v>
      </c>
      <c r="O99" s="18" t="n">
        <v>749</v>
      </c>
      <c r="P99" s="18" t="n">
        <v>149.8</v>
      </c>
      <c r="Q99" s="18" t="n">
        <v>75</v>
      </c>
      <c r="R99" s="18" t="n">
        <v>15</v>
      </c>
      <c r="S99" s="18" t="n">
        <v>75</v>
      </c>
      <c r="T99" s="18" t="n">
        <v>15</v>
      </c>
    </row>
    <row r="100">
      <c r="A100" s="17" t="inlineStr">
        <is>
          <t>OB/GYN</t>
        </is>
      </c>
      <c r="B100" s="17" t="inlineStr">
        <is>
          <t>MRI Pelvis Review</t>
        </is>
      </c>
      <c r="C100" s="17" t="inlineStr">
        <is>
          <t>Yes</t>
        </is>
      </c>
      <c r="D100" s="17" t="inlineStr">
        <is>
          <t>T2 - Imaging / advanced diagnostic</t>
        </is>
      </c>
      <c r="E100" s="18" t="n">
        <v>200</v>
      </c>
      <c r="F100" s="18" t="n">
        <v>40</v>
      </c>
      <c r="G100" s="18" t="n">
        <v>250</v>
      </c>
      <c r="H100" s="18" t="n">
        <v>50</v>
      </c>
      <c r="I100" s="18" t="n">
        <v>749</v>
      </c>
      <c r="J100" s="18" t="n">
        <v>149.8</v>
      </c>
      <c r="K100" s="18" t="n">
        <v>749</v>
      </c>
      <c r="L100" s="18" t="n">
        <v>149.8</v>
      </c>
      <c r="M100" s="18" t="n">
        <v>59</v>
      </c>
      <c r="N100" s="18" t="n">
        <v>11.8</v>
      </c>
      <c r="O100" s="18" t="n">
        <v>749</v>
      </c>
      <c r="P100" s="18" t="n">
        <v>149.8</v>
      </c>
      <c r="Q100" s="18" t="n">
        <v>75</v>
      </c>
      <c r="R100" s="18" t="n">
        <v>15</v>
      </c>
      <c r="S100" s="18" t="n">
        <v>75</v>
      </c>
      <c r="T100" s="18" t="n">
        <v>15</v>
      </c>
    </row>
    <row r="101">
      <c r="A101" s="17" t="inlineStr">
        <is>
          <t>OB/GYN</t>
        </is>
      </c>
      <c r="B101" s="17" t="inlineStr">
        <is>
          <t>Obstetric Ultrasound Review</t>
        </is>
      </c>
      <c r="C101" s="17" t="inlineStr">
        <is>
          <t>Yes</t>
        </is>
      </c>
      <c r="D101" s="17" t="inlineStr">
        <is>
          <t>T1 - Basic test / report</t>
        </is>
      </c>
      <c r="E101" s="18" t="n">
        <v>120</v>
      </c>
      <c r="F101" s="18" t="n">
        <v>24</v>
      </c>
      <c r="G101" s="18" t="n">
        <v>150</v>
      </c>
      <c r="H101" s="18" t="n">
        <v>30</v>
      </c>
      <c r="I101" s="18" t="n">
        <v>449</v>
      </c>
      <c r="J101" s="18" t="n">
        <v>89.8</v>
      </c>
      <c r="K101" s="18" t="n">
        <v>449</v>
      </c>
      <c r="L101" s="18" t="n">
        <v>89.8</v>
      </c>
      <c r="M101" s="18" t="n">
        <v>35</v>
      </c>
      <c r="N101" s="18" t="n">
        <v>7</v>
      </c>
      <c r="O101" s="18" t="n">
        <v>449</v>
      </c>
      <c r="P101" s="18" t="n">
        <v>89.8</v>
      </c>
      <c r="Q101" s="18" t="n">
        <v>45</v>
      </c>
      <c r="R101" s="18" t="n">
        <v>9</v>
      </c>
      <c r="S101" s="18" t="n">
        <v>45</v>
      </c>
      <c r="T101" s="18" t="n">
        <v>9</v>
      </c>
    </row>
    <row r="102">
      <c r="A102" s="17" t="inlineStr">
        <is>
          <t>OB/GYN</t>
        </is>
      </c>
      <c r="B102" s="17" t="inlineStr">
        <is>
          <t>Pap Smear Report Review</t>
        </is>
      </c>
      <c r="C102" s="17" t="inlineStr">
        <is>
          <t>Yes</t>
        </is>
      </c>
      <c r="D102" s="17" t="inlineStr">
        <is>
          <t>T1 - Basic test / report</t>
        </is>
      </c>
      <c r="E102" s="18" t="n">
        <v>120</v>
      </c>
      <c r="F102" s="18" t="n">
        <v>24</v>
      </c>
      <c r="G102" s="18" t="n">
        <v>150</v>
      </c>
      <c r="H102" s="18" t="n">
        <v>30</v>
      </c>
      <c r="I102" s="18" t="n">
        <v>449</v>
      </c>
      <c r="J102" s="18" t="n">
        <v>89.8</v>
      </c>
      <c r="K102" s="18" t="n">
        <v>449</v>
      </c>
      <c r="L102" s="18" t="n">
        <v>89.8</v>
      </c>
      <c r="M102" s="18" t="n">
        <v>35</v>
      </c>
      <c r="N102" s="18" t="n">
        <v>7</v>
      </c>
      <c r="O102" s="18" t="n">
        <v>449</v>
      </c>
      <c r="P102" s="18" t="n">
        <v>89.8</v>
      </c>
      <c r="Q102" s="18" t="n">
        <v>45</v>
      </c>
      <c r="R102" s="18" t="n">
        <v>9</v>
      </c>
      <c r="S102" s="18" t="n">
        <v>45</v>
      </c>
      <c r="T102" s="18" t="n">
        <v>9</v>
      </c>
    </row>
    <row r="103">
      <c r="A103" s="17" t="inlineStr">
        <is>
          <t>OB/GYN</t>
        </is>
      </c>
      <c r="B103" s="17" t="inlineStr">
        <is>
          <t>Prenatal Labs Review</t>
        </is>
      </c>
      <c r="C103" s="17" t="inlineStr">
        <is>
          <t>Yes</t>
        </is>
      </c>
      <c r="D103" s="17" t="inlineStr">
        <is>
          <t>T1 - Basic test / report</t>
        </is>
      </c>
      <c r="E103" s="18" t="n">
        <v>120</v>
      </c>
      <c r="F103" s="18" t="n">
        <v>24</v>
      </c>
      <c r="G103" s="18" t="n">
        <v>150</v>
      </c>
      <c r="H103" s="18" t="n">
        <v>30</v>
      </c>
      <c r="I103" s="18" t="n">
        <v>449</v>
      </c>
      <c r="J103" s="18" t="n">
        <v>89.8</v>
      </c>
      <c r="K103" s="18" t="n">
        <v>449</v>
      </c>
      <c r="L103" s="18" t="n">
        <v>89.8</v>
      </c>
      <c r="M103" s="18" t="n">
        <v>35</v>
      </c>
      <c r="N103" s="18" t="n">
        <v>7</v>
      </c>
      <c r="O103" s="18" t="n">
        <v>449</v>
      </c>
      <c r="P103" s="18" t="n">
        <v>89.8</v>
      </c>
      <c r="Q103" s="18" t="n">
        <v>45</v>
      </c>
      <c r="R103" s="18" t="n">
        <v>9</v>
      </c>
      <c r="S103" s="18" t="n">
        <v>45</v>
      </c>
      <c r="T103" s="18" t="n">
        <v>9</v>
      </c>
    </row>
    <row r="104">
      <c r="A104" s="17" t="inlineStr">
        <is>
          <t>Oncology</t>
        </is>
      </c>
      <c r="B104" s="17" t="inlineStr">
        <is>
          <t>Bone Marrow Biopsy Review</t>
        </is>
      </c>
      <c r="C104" s="17" t="inlineStr">
        <is>
          <t>Hidden</t>
        </is>
      </c>
      <c r="D104" s="17" t="inlineStr">
        <is>
          <t>T5 - Pre-op / oncology-grade</t>
        </is>
      </c>
      <c r="E104" s="18" t="n">
        <v>550</v>
      </c>
      <c r="F104" s="18" t="n">
        <v>110</v>
      </c>
      <c r="G104" s="18" t="n">
        <v>600</v>
      </c>
      <c r="H104" s="18" t="n">
        <v>120</v>
      </c>
      <c r="I104" s="18" t="n">
        <v>1899</v>
      </c>
      <c r="J104" s="18" t="n">
        <v>379.8</v>
      </c>
      <c r="K104" s="18" t="n">
        <v>1899</v>
      </c>
      <c r="L104" s="18" t="n">
        <v>379.8</v>
      </c>
      <c r="M104" s="18" t="n">
        <v>149</v>
      </c>
      <c r="N104" s="18" t="n">
        <v>29.8</v>
      </c>
      <c r="O104" s="18" t="n">
        <v>1899</v>
      </c>
      <c r="P104" s="18" t="n">
        <v>379.8</v>
      </c>
      <c r="Q104" s="18" t="n">
        <v>189</v>
      </c>
      <c r="R104" s="18" t="n">
        <v>37.8</v>
      </c>
      <c r="S104" s="18" t="n">
        <v>189</v>
      </c>
      <c r="T104" s="18" t="n">
        <v>37.8</v>
      </c>
    </row>
    <row r="105">
      <c r="A105" s="17" t="inlineStr">
        <is>
          <t>Oncology</t>
        </is>
      </c>
      <c r="B105" s="17" t="inlineStr">
        <is>
          <t>CT/MRI Staging Review</t>
        </is>
      </c>
      <c r="C105" s="17" t="inlineStr">
        <is>
          <t>Hidden</t>
        </is>
      </c>
      <c r="D105" s="17" t="inlineStr">
        <is>
          <t>T5 - Pre-op / oncology-grade</t>
        </is>
      </c>
      <c r="E105" s="18" t="n">
        <v>550</v>
      </c>
      <c r="F105" s="18" t="n">
        <v>110</v>
      </c>
      <c r="G105" s="18" t="n">
        <v>600</v>
      </c>
      <c r="H105" s="18" t="n">
        <v>120</v>
      </c>
      <c r="I105" s="18" t="n">
        <v>1899</v>
      </c>
      <c r="J105" s="18" t="n">
        <v>379.8</v>
      </c>
      <c r="K105" s="18" t="n">
        <v>1899</v>
      </c>
      <c r="L105" s="18" t="n">
        <v>379.8</v>
      </c>
      <c r="M105" s="18" t="n">
        <v>149</v>
      </c>
      <c r="N105" s="18" t="n">
        <v>29.8</v>
      </c>
      <c r="O105" s="18" t="n">
        <v>1899</v>
      </c>
      <c r="P105" s="18" t="n">
        <v>379.8</v>
      </c>
      <c r="Q105" s="18" t="n">
        <v>189</v>
      </c>
      <c r="R105" s="18" t="n">
        <v>37.8</v>
      </c>
      <c r="S105" s="18" t="n">
        <v>189</v>
      </c>
      <c r="T105" s="18" t="n">
        <v>37.8</v>
      </c>
    </row>
    <row r="106">
      <c r="A106" s="17" t="inlineStr">
        <is>
          <t>Oncology</t>
        </is>
      </c>
      <c r="B106" s="17" t="inlineStr">
        <is>
          <t>Cytology Report Review</t>
        </is>
      </c>
      <c r="C106" s="17" t="inlineStr">
        <is>
          <t>Hidden</t>
        </is>
      </c>
      <c r="D106" s="17" t="inlineStr">
        <is>
          <t>T2 - Imaging / advanced diagnostic</t>
        </is>
      </c>
      <c r="E106" s="18" t="n">
        <v>200</v>
      </c>
      <c r="F106" s="18" t="n">
        <v>40</v>
      </c>
      <c r="G106" s="18" t="n">
        <v>250</v>
      </c>
      <c r="H106" s="18" t="n">
        <v>50</v>
      </c>
      <c r="I106" s="18" t="n">
        <v>749</v>
      </c>
      <c r="J106" s="18" t="n">
        <v>149.8</v>
      </c>
      <c r="K106" s="18" t="n">
        <v>749</v>
      </c>
      <c r="L106" s="18" t="n">
        <v>149.8</v>
      </c>
      <c r="M106" s="18" t="n">
        <v>59</v>
      </c>
      <c r="N106" s="18" t="n">
        <v>11.8</v>
      </c>
      <c r="O106" s="18" t="n">
        <v>749</v>
      </c>
      <c r="P106" s="18" t="n">
        <v>149.8</v>
      </c>
      <c r="Q106" s="18" t="n">
        <v>75</v>
      </c>
      <c r="R106" s="18" t="n">
        <v>15</v>
      </c>
      <c r="S106" s="18" t="n">
        <v>75</v>
      </c>
      <c r="T106" s="18" t="n">
        <v>15</v>
      </c>
    </row>
    <row r="107">
      <c r="A107" s="17" t="inlineStr">
        <is>
          <t>Oncology</t>
        </is>
      </c>
      <c r="B107" s="17" t="inlineStr">
        <is>
          <t>Hemato-Oncology Blood Review</t>
        </is>
      </c>
      <c r="C107" s="17" t="inlineStr">
        <is>
          <t>Hidden</t>
        </is>
      </c>
      <c r="D107" s="17" t="inlineStr">
        <is>
          <t>T2 - Imaging / advanced diagnostic</t>
        </is>
      </c>
      <c r="E107" s="18" t="n">
        <v>200</v>
      </c>
      <c r="F107" s="18" t="n">
        <v>40</v>
      </c>
      <c r="G107" s="18" t="n">
        <v>250</v>
      </c>
      <c r="H107" s="18" t="n">
        <v>50</v>
      </c>
      <c r="I107" s="18" t="n">
        <v>749</v>
      </c>
      <c r="J107" s="18" t="n">
        <v>149.8</v>
      </c>
      <c r="K107" s="18" t="n">
        <v>749</v>
      </c>
      <c r="L107" s="18" t="n">
        <v>149.8</v>
      </c>
      <c r="M107" s="18" t="n">
        <v>59</v>
      </c>
      <c r="N107" s="18" t="n">
        <v>11.8</v>
      </c>
      <c r="O107" s="18" t="n">
        <v>749</v>
      </c>
      <c r="P107" s="18" t="n">
        <v>149.8</v>
      </c>
      <c r="Q107" s="18" t="n">
        <v>75</v>
      </c>
      <c r="R107" s="18" t="n">
        <v>15</v>
      </c>
      <c r="S107" s="18" t="n">
        <v>75</v>
      </c>
      <c r="T107" s="18" t="n">
        <v>15</v>
      </c>
    </row>
    <row r="108">
      <c r="A108" s="17" t="inlineStr">
        <is>
          <t>Oncology</t>
        </is>
      </c>
      <c r="B108" s="17" t="inlineStr">
        <is>
          <t>Histopathology Report Review</t>
        </is>
      </c>
      <c r="C108" s="17" t="inlineStr">
        <is>
          <t>Hidden</t>
        </is>
      </c>
      <c r="D108" s="17" t="inlineStr">
        <is>
          <t>T2 - Imaging / advanced diagnostic</t>
        </is>
      </c>
      <c r="E108" s="18" t="n">
        <v>200</v>
      </c>
      <c r="F108" s="18" t="n">
        <v>40</v>
      </c>
      <c r="G108" s="18" t="n">
        <v>250</v>
      </c>
      <c r="H108" s="18" t="n">
        <v>50</v>
      </c>
      <c r="I108" s="18" t="n">
        <v>749</v>
      </c>
      <c r="J108" s="18" t="n">
        <v>149.8</v>
      </c>
      <c r="K108" s="18" t="n">
        <v>749</v>
      </c>
      <c r="L108" s="18" t="n">
        <v>149.8</v>
      </c>
      <c r="M108" s="18" t="n">
        <v>59</v>
      </c>
      <c r="N108" s="18" t="n">
        <v>11.8</v>
      </c>
      <c r="O108" s="18" t="n">
        <v>749</v>
      </c>
      <c r="P108" s="18" t="n">
        <v>149.8</v>
      </c>
      <c r="Q108" s="18" t="n">
        <v>75</v>
      </c>
      <c r="R108" s="18" t="n">
        <v>15</v>
      </c>
      <c r="S108" s="18" t="n">
        <v>75</v>
      </c>
      <c r="T108" s="18" t="n">
        <v>15</v>
      </c>
    </row>
    <row r="109">
      <c r="A109" s="17" t="inlineStr">
        <is>
          <t>Oncology</t>
        </is>
      </c>
      <c r="B109" s="17" t="inlineStr">
        <is>
          <t>PET-CT Imaging Review</t>
        </is>
      </c>
      <c r="C109" s="17" t="inlineStr">
        <is>
          <t>Hidden</t>
        </is>
      </c>
      <c r="D109" s="17" t="inlineStr">
        <is>
          <t>T5 - Pre-op / oncology-grade</t>
        </is>
      </c>
      <c r="E109" s="18" t="n">
        <v>550</v>
      </c>
      <c r="F109" s="18" t="n">
        <v>110</v>
      </c>
      <c r="G109" s="18" t="n">
        <v>600</v>
      </c>
      <c r="H109" s="18" t="n">
        <v>120</v>
      </c>
      <c r="I109" s="18" t="n">
        <v>1899</v>
      </c>
      <c r="J109" s="18" t="n">
        <v>379.8</v>
      </c>
      <c r="K109" s="18" t="n">
        <v>1899</v>
      </c>
      <c r="L109" s="18" t="n">
        <v>379.8</v>
      </c>
      <c r="M109" s="18" t="n">
        <v>149</v>
      </c>
      <c r="N109" s="18" t="n">
        <v>29.8</v>
      </c>
      <c r="O109" s="18" t="n">
        <v>1899</v>
      </c>
      <c r="P109" s="18" t="n">
        <v>379.8</v>
      </c>
      <c r="Q109" s="18" t="n">
        <v>189</v>
      </c>
      <c r="R109" s="18" t="n">
        <v>37.8</v>
      </c>
      <c r="S109" s="18" t="n">
        <v>189</v>
      </c>
      <c r="T109" s="18" t="n">
        <v>37.8</v>
      </c>
    </row>
    <row r="110">
      <c r="A110" s="17" t="inlineStr">
        <is>
          <t>Oncology</t>
        </is>
      </c>
      <c r="B110" s="17" t="inlineStr">
        <is>
          <t>RECIST Response Assessment</t>
        </is>
      </c>
      <c r="C110" s="17" t="inlineStr">
        <is>
          <t>Hidden</t>
        </is>
      </c>
      <c r="D110" s="17" t="inlineStr">
        <is>
          <t>T5 - Pre-op / oncology-grade</t>
        </is>
      </c>
      <c r="E110" s="18" t="n">
        <v>550</v>
      </c>
      <c r="F110" s="18" t="n">
        <v>110</v>
      </c>
      <c r="G110" s="18" t="n">
        <v>600</v>
      </c>
      <c r="H110" s="18" t="n">
        <v>120</v>
      </c>
      <c r="I110" s="18" t="n">
        <v>1899</v>
      </c>
      <c r="J110" s="18" t="n">
        <v>379.8</v>
      </c>
      <c r="K110" s="18" t="n">
        <v>1899</v>
      </c>
      <c r="L110" s="18" t="n">
        <v>379.8</v>
      </c>
      <c r="M110" s="18" t="n">
        <v>149</v>
      </c>
      <c r="N110" s="18" t="n">
        <v>29.8</v>
      </c>
      <c r="O110" s="18" t="n">
        <v>1899</v>
      </c>
      <c r="P110" s="18" t="n">
        <v>379.8</v>
      </c>
      <c r="Q110" s="18" t="n">
        <v>189</v>
      </c>
      <c r="R110" s="18" t="n">
        <v>37.8</v>
      </c>
      <c r="S110" s="18" t="n">
        <v>189</v>
      </c>
      <c r="T110" s="18" t="n">
        <v>37.8</v>
      </c>
    </row>
    <row r="111">
      <c r="A111" s="17" t="inlineStr">
        <is>
          <t>Oncology</t>
        </is>
      </c>
      <c r="B111" s="17" t="inlineStr">
        <is>
          <t>RT Planning Scan Review</t>
        </is>
      </c>
      <c r="C111" s="17" t="inlineStr">
        <is>
          <t>Hidden</t>
        </is>
      </c>
      <c r="D111" s="17" t="inlineStr">
        <is>
          <t>T5 - Pre-op / oncology-grade</t>
        </is>
      </c>
      <c r="E111" s="18" t="n">
        <v>550</v>
      </c>
      <c r="F111" s="18" t="n">
        <v>110</v>
      </c>
      <c r="G111" s="18" t="n">
        <v>600</v>
      </c>
      <c r="H111" s="18" t="n">
        <v>120</v>
      </c>
      <c r="I111" s="18" t="n">
        <v>1899</v>
      </c>
      <c r="J111" s="18" t="n">
        <v>379.8</v>
      </c>
      <c r="K111" s="18" t="n">
        <v>1899</v>
      </c>
      <c r="L111" s="18" t="n">
        <v>379.8</v>
      </c>
      <c r="M111" s="18" t="n">
        <v>149</v>
      </c>
      <c r="N111" s="18" t="n">
        <v>29.8</v>
      </c>
      <c r="O111" s="18" t="n">
        <v>1899</v>
      </c>
      <c r="P111" s="18" t="n">
        <v>379.8</v>
      </c>
      <c r="Q111" s="18" t="n">
        <v>189</v>
      </c>
      <c r="R111" s="18" t="n">
        <v>37.8</v>
      </c>
      <c r="S111" s="18" t="n">
        <v>189</v>
      </c>
      <c r="T111" s="18" t="n">
        <v>37.8</v>
      </c>
    </row>
    <row r="112">
      <c r="A112" s="17" t="inlineStr">
        <is>
          <t>Oncology</t>
        </is>
      </c>
      <c r="B112" s="17" t="inlineStr">
        <is>
          <t>Tumor Markers Review</t>
        </is>
      </c>
      <c r="C112" s="17" t="inlineStr">
        <is>
          <t>Hidden</t>
        </is>
      </c>
      <c r="D112" s="17" t="inlineStr">
        <is>
          <t>T2 - Imaging / advanced diagnostic</t>
        </is>
      </c>
      <c r="E112" s="18" t="n">
        <v>200</v>
      </c>
      <c r="F112" s="18" t="n">
        <v>40</v>
      </c>
      <c r="G112" s="18" t="n">
        <v>250</v>
      </c>
      <c r="H112" s="18" t="n">
        <v>50</v>
      </c>
      <c r="I112" s="18" t="n">
        <v>749</v>
      </c>
      <c r="J112" s="18" t="n">
        <v>149.8</v>
      </c>
      <c r="K112" s="18" t="n">
        <v>749</v>
      </c>
      <c r="L112" s="18" t="n">
        <v>149.8</v>
      </c>
      <c r="M112" s="18" t="n">
        <v>59</v>
      </c>
      <c r="N112" s="18" t="n">
        <v>11.8</v>
      </c>
      <c r="O112" s="18" t="n">
        <v>749</v>
      </c>
      <c r="P112" s="18" t="n">
        <v>149.8</v>
      </c>
      <c r="Q112" s="18" t="n">
        <v>75</v>
      </c>
      <c r="R112" s="18" t="n">
        <v>15</v>
      </c>
      <c r="S112" s="18" t="n">
        <v>75</v>
      </c>
      <c r="T112" s="18" t="n">
        <v>15</v>
      </c>
    </row>
    <row r="113">
      <c r="A113" s="17" t="inlineStr">
        <is>
          <t>Ophthalmology</t>
        </is>
      </c>
      <c r="B113" s="17" t="inlineStr">
        <is>
          <t>Diabetic Retinopathy Review</t>
        </is>
      </c>
      <c r="C113" s="17" t="inlineStr">
        <is>
          <t>Yes</t>
        </is>
      </c>
      <c r="D113" s="17" t="inlineStr">
        <is>
          <t>T2 - Imaging / advanced diagnostic</t>
        </is>
      </c>
      <c r="E113" s="18" t="n">
        <v>200</v>
      </c>
      <c r="F113" s="18" t="n">
        <v>40</v>
      </c>
      <c r="G113" s="18" t="n">
        <v>250</v>
      </c>
      <c r="H113" s="18" t="n">
        <v>50</v>
      </c>
      <c r="I113" s="18" t="n">
        <v>749</v>
      </c>
      <c r="J113" s="18" t="n">
        <v>149.8</v>
      </c>
      <c r="K113" s="18" t="n">
        <v>749</v>
      </c>
      <c r="L113" s="18" t="n">
        <v>149.8</v>
      </c>
      <c r="M113" s="18" t="n">
        <v>59</v>
      </c>
      <c r="N113" s="18" t="n">
        <v>11.8</v>
      </c>
      <c r="O113" s="18" t="n">
        <v>749</v>
      </c>
      <c r="P113" s="18" t="n">
        <v>149.8</v>
      </c>
      <c r="Q113" s="18" t="n">
        <v>75</v>
      </c>
      <c r="R113" s="18" t="n">
        <v>15</v>
      </c>
      <c r="S113" s="18" t="n">
        <v>75</v>
      </c>
      <c r="T113" s="18" t="n">
        <v>15</v>
      </c>
    </row>
    <row r="114">
      <c r="A114" s="17" t="inlineStr">
        <is>
          <t>Ophthalmology</t>
        </is>
      </c>
      <c r="B114" s="17" t="inlineStr">
        <is>
          <t>Fluorescein Angiography Review</t>
        </is>
      </c>
      <c r="C114" s="17" t="inlineStr">
        <is>
          <t>Yes</t>
        </is>
      </c>
      <c r="D114" s="17" t="inlineStr">
        <is>
          <t>T3 - Complex / procedure / management</t>
        </is>
      </c>
      <c r="E114" s="18" t="n">
        <v>350</v>
      </c>
      <c r="F114" s="18" t="n">
        <v>70</v>
      </c>
      <c r="G114" s="18" t="n">
        <v>400</v>
      </c>
      <c r="H114" s="18" t="n">
        <v>80</v>
      </c>
      <c r="I114" s="18" t="n">
        <v>1199</v>
      </c>
      <c r="J114" s="18" t="n">
        <v>239.8</v>
      </c>
      <c r="K114" s="18" t="n">
        <v>1199</v>
      </c>
      <c r="L114" s="18" t="n">
        <v>239.8</v>
      </c>
      <c r="M114" s="18" t="n">
        <v>95</v>
      </c>
      <c r="N114" s="18" t="n">
        <v>19</v>
      </c>
      <c r="O114" s="18" t="n">
        <v>1199</v>
      </c>
      <c r="P114" s="18" t="n">
        <v>239.8</v>
      </c>
      <c r="Q114" s="18" t="n">
        <v>119</v>
      </c>
      <c r="R114" s="18" t="n">
        <v>23.8</v>
      </c>
      <c r="S114" s="18" t="n">
        <v>119</v>
      </c>
      <c r="T114" s="18" t="n">
        <v>23.8</v>
      </c>
    </row>
    <row r="115">
      <c r="A115" s="17" t="inlineStr">
        <is>
          <t>Ophthalmology</t>
        </is>
      </c>
      <c r="B115" s="17" t="inlineStr">
        <is>
          <t>Fundus Photography Review</t>
        </is>
      </c>
      <c r="C115" s="17" t="inlineStr">
        <is>
          <t>Yes</t>
        </is>
      </c>
      <c r="D115" s="17" t="inlineStr">
        <is>
          <t>T2 - Imaging / advanced diagnostic</t>
        </is>
      </c>
      <c r="E115" s="18" t="n">
        <v>200</v>
      </c>
      <c r="F115" s="18" t="n">
        <v>40</v>
      </c>
      <c r="G115" s="18" t="n">
        <v>250</v>
      </c>
      <c r="H115" s="18" t="n">
        <v>50</v>
      </c>
      <c r="I115" s="18" t="n">
        <v>749</v>
      </c>
      <c r="J115" s="18" t="n">
        <v>149.8</v>
      </c>
      <c r="K115" s="18" t="n">
        <v>749</v>
      </c>
      <c r="L115" s="18" t="n">
        <v>149.8</v>
      </c>
      <c r="M115" s="18" t="n">
        <v>59</v>
      </c>
      <c r="N115" s="18" t="n">
        <v>11.8</v>
      </c>
      <c r="O115" s="18" t="n">
        <v>749</v>
      </c>
      <c r="P115" s="18" t="n">
        <v>149.8</v>
      </c>
      <c r="Q115" s="18" t="n">
        <v>75</v>
      </c>
      <c r="R115" s="18" t="n">
        <v>15</v>
      </c>
      <c r="S115" s="18" t="n">
        <v>75</v>
      </c>
      <c r="T115" s="18" t="n">
        <v>15</v>
      </c>
    </row>
    <row r="116">
      <c r="A116" s="17" t="inlineStr">
        <is>
          <t>Ophthalmology</t>
        </is>
      </c>
      <c r="B116" s="17" t="inlineStr">
        <is>
          <t>Glaucoma Workup Review</t>
        </is>
      </c>
      <c r="C116" s="17" t="inlineStr">
        <is>
          <t>Yes</t>
        </is>
      </c>
      <c r="D116" s="17" t="inlineStr">
        <is>
          <t>T3 - Complex / procedure / management</t>
        </is>
      </c>
      <c r="E116" s="18" t="n">
        <v>350</v>
      </c>
      <c r="F116" s="18" t="n">
        <v>70</v>
      </c>
      <c r="G116" s="18" t="n">
        <v>400</v>
      </c>
      <c r="H116" s="18" t="n">
        <v>80</v>
      </c>
      <c r="I116" s="18" t="n">
        <v>1199</v>
      </c>
      <c r="J116" s="18" t="n">
        <v>239.8</v>
      </c>
      <c r="K116" s="18" t="n">
        <v>1199</v>
      </c>
      <c r="L116" s="18" t="n">
        <v>239.8</v>
      </c>
      <c r="M116" s="18" t="n">
        <v>95</v>
      </c>
      <c r="N116" s="18" t="n">
        <v>19</v>
      </c>
      <c r="O116" s="18" t="n">
        <v>1199</v>
      </c>
      <c r="P116" s="18" t="n">
        <v>239.8</v>
      </c>
      <c r="Q116" s="18" t="n">
        <v>119</v>
      </c>
      <c r="R116" s="18" t="n">
        <v>23.8</v>
      </c>
      <c r="S116" s="18" t="n">
        <v>119</v>
      </c>
      <c r="T116" s="18" t="n">
        <v>23.8</v>
      </c>
    </row>
    <row r="117">
      <c r="A117" s="17" t="inlineStr">
        <is>
          <t>Ophthalmology</t>
        </is>
      </c>
      <c r="B117" s="17" t="inlineStr">
        <is>
          <t>MRI Orbit Review</t>
        </is>
      </c>
      <c r="C117" s="17" t="inlineStr">
        <is>
          <t>Yes</t>
        </is>
      </c>
      <c r="D117" s="17" t="inlineStr">
        <is>
          <t>T2 - Imaging / advanced diagnostic</t>
        </is>
      </c>
      <c r="E117" s="18" t="n">
        <v>200</v>
      </c>
      <c r="F117" s="18" t="n">
        <v>40</v>
      </c>
      <c r="G117" s="18" t="n">
        <v>250</v>
      </c>
      <c r="H117" s="18" t="n">
        <v>50</v>
      </c>
      <c r="I117" s="18" t="n">
        <v>749</v>
      </c>
      <c r="J117" s="18" t="n">
        <v>149.8</v>
      </c>
      <c r="K117" s="18" t="n">
        <v>749</v>
      </c>
      <c r="L117" s="18" t="n">
        <v>149.8</v>
      </c>
      <c r="M117" s="18" t="n">
        <v>59</v>
      </c>
      <c r="N117" s="18" t="n">
        <v>11.8</v>
      </c>
      <c r="O117" s="18" t="n">
        <v>749</v>
      </c>
      <c r="P117" s="18" t="n">
        <v>149.8</v>
      </c>
      <c r="Q117" s="18" t="n">
        <v>75</v>
      </c>
      <c r="R117" s="18" t="n">
        <v>15</v>
      </c>
      <c r="S117" s="18" t="n">
        <v>75</v>
      </c>
      <c r="T117" s="18" t="n">
        <v>15</v>
      </c>
    </row>
    <row r="118">
      <c r="A118" s="17" t="inlineStr">
        <is>
          <t>Ophthalmology</t>
        </is>
      </c>
      <c r="B118" s="17" t="inlineStr">
        <is>
          <t>OCT Scan Review</t>
        </is>
      </c>
      <c r="C118" s="17" t="inlineStr">
        <is>
          <t>Yes</t>
        </is>
      </c>
      <c r="D118" s="17" t="inlineStr">
        <is>
          <t>T2 - Imaging / advanced diagnostic</t>
        </is>
      </c>
      <c r="E118" s="18" t="n">
        <v>200</v>
      </c>
      <c r="F118" s="18" t="n">
        <v>40</v>
      </c>
      <c r="G118" s="18" t="n">
        <v>250</v>
      </c>
      <c r="H118" s="18" t="n">
        <v>50</v>
      </c>
      <c r="I118" s="18" t="n">
        <v>749</v>
      </c>
      <c r="J118" s="18" t="n">
        <v>149.8</v>
      </c>
      <c r="K118" s="18" t="n">
        <v>749</v>
      </c>
      <c r="L118" s="18" t="n">
        <v>149.8</v>
      </c>
      <c r="M118" s="18" t="n">
        <v>59</v>
      </c>
      <c r="N118" s="18" t="n">
        <v>11.8</v>
      </c>
      <c r="O118" s="18" t="n">
        <v>749</v>
      </c>
      <c r="P118" s="18" t="n">
        <v>149.8</v>
      </c>
      <c r="Q118" s="18" t="n">
        <v>75</v>
      </c>
      <c r="R118" s="18" t="n">
        <v>15</v>
      </c>
      <c r="S118" s="18" t="n">
        <v>75</v>
      </c>
      <c r="T118" s="18" t="n">
        <v>15</v>
      </c>
    </row>
    <row r="119">
      <c r="A119" s="17" t="inlineStr">
        <is>
          <t>Ophthalmology</t>
        </is>
      </c>
      <c r="B119" s="17" t="inlineStr">
        <is>
          <t>Pre-Op Surgical Opinion</t>
        </is>
      </c>
      <c r="C119" s="17" t="inlineStr">
        <is>
          <t>Yes</t>
        </is>
      </c>
      <c r="D119" s="17" t="inlineStr">
        <is>
          <t>T5 - Pre-op / oncology-grade</t>
        </is>
      </c>
      <c r="E119" s="18" t="n">
        <v>550</v>
      </c>
      <c r="F119" s="18" t="n">
        <v>110</v>
      </c>
      <c r="G119" s="18" t="n">
        <v>600</v>
      </c>
      <c r="H119" s="18" t="n">
        <v>120</v>
      </c>
      <c r="I119" s="18" t="n">
        <v>1899</v>
      </c>
      <c r="J119" s="18" t="n">
        <v>379.8</v>
      </c>
      <c r="K119" s="18" t="n">
        <v>1899</v>
      </c>
      <c r="L119" s="18" t="n">
        <v>379.8</v>
      </c>
      <c r="M119" s="18" t="n">
        <v>149</v>
      </c>
      <c r="N119" s="18" t="n">
        <v>29.8</v>
      </c>
      <c r="O119" s="18" t="n">
        <v>1899</v>
      </c>
      <c r="P119" s="18" t="n">
        <v>379.8</v>
      </c>
      <c r="Q119" s="18" t="n">
        <v>189</v>
      </c>
      <c r="R119" s="18" t="n">
        <v>37.8</v>
      </c>
      <c r="S119" s="18" t="n">
        <v>189</v>
      </c>
      <c r="T119" s="18" t="n">
        <v>37.8</v>
      </c>
    </row>
    <row r="120">
      <c r="A120" s="17" t="inlineStr">
        <is>
          <t>Ophthalmology</t>
        </is>
      </c>
      <c r="B120" s="17" t="inlineStr">
        <is>
          <t>Retinal Imaging Review</t>
        </is>
      </c>
      <c r="C120" s="17" t="inlineStr">
        <is>
          <t>Yes</t>
        </is>
      </c>
      <c r="D120" s="17" t="inlineStr">
        <is>
          <t>T2 - Imaging / advanced diagnostic</t>
        </is>
      </c>
      <c r="E120" s="18" t="n">
        <v>200</v>
      </c>
      <c r="F120" s="18" t="n">
        <v>40</v>
      </c>
      <c r="G120" s="18" t="n">
        <v>250</v>
      </c>
      <c r="H120" s="18" t="n">
        <v>50</v>
      </c>
      <c r="I120" s="18" t="n">
        <v>749</v>
      </c>
      <c r="J120" s="18" t="n">
        <v>149.8</v>
      </c>
      <c r="K120" s="18" t="n">
        <v>749</v>
      </c>
      <c r="L120" s="18" t="n">
        <v>149.8</v>
      </c>
      <c r="M120" s="18" t="n">
        <v>59</v>
      </c>
      <c r="N120" s="18" t="n">
        <v>11.8</v>
      </c>
      <c r="O120" s="18" t="n">
        <v>749</v>
      </c>
      <c r="P120" s="18" t="n">
        <v>149.8</v>
      </c>
      <c r="Q120" s="18" t="n">
        <v>75</v>
      </c>
      <c r="R120" s="18" t="n">
        <v>15</v>
      </c>
      <c r="S120" s="18" t="n">
        <v>75</v>
      </c>
      <c r="T120" s="18" t="n">
        <v>15</v>
      </c>
    </row>
    <row r="121">
      <c r="A121" s="17" t="inlineStr">
        <is>
          <t>Ophthalmology</t>
        </is>
      </c>
      <c r="B121" s="17" t="inlineStr">
        <is>
          <t>Visual Field Test Review</t>
        </is>
      </c>
      <c r="C121" s="17" t="inlineStr">
        <is>
          <t>Yes</t>
        </is>
      </c>
      <c r="D121" s="17" t="inlineStr">
        <is>
          <t>T1 - Basic test / report</t>
        </is>
      </c>
      <c r="E121" s="18" t="n">
        <v>120</v>
      </c>
      <c r="F121" s="18" t="n">
        <v>24</v>
      </c>
      <c r="G121" s="18" t="n">
        <v>150</v>
      </c>
      <c r="H121" s="18" t="n">
        <v>30</v>
      </c>
      <c r="I121" s="18" t="n">
        <v>449</v>
      </c>
      <c r="J121" s="18" t="n">
        <v>89.8</v>
      </c>
      <c r="K121" s="18" t="n">
        <v>449</v>
      </c>
      <c r="L121" s="18" t="n">
        <v>89.8</v>
      </c>
      <c r="M121" s="18" t="n">
        <v>35</v>
      </c>
      <c r="N121" s="18" t="n">
        <v>7</v>
      </c>
      <c r="O121" s="18" t="n">
        <v>449</v>
      </c>
      <c r="P121" s="18" t="n">
        <v>89.8</v>
      </c>
      <c r="Q121" s="18" t="n">
        <v>45</v>
      </c>
      <c r="R121" s="18" t="n">
        <v>9</v>
      </c>
      <c r="S121" s="18" t="n">
        <v>45</v>
      </c>
      <c r="T121" s="18" t="n">
        <v>9</v>
      </c>
    </row>
    <row r="122">
      <c r="A122" s="17" t="inlineStr">
        <is>
          <t>Orthopedics</t>
        </is>
      </c>
      <c r="B122" s="17" t="inlineStr">
        <is>
          <t>Bone Density (DEXA) Review</t>
        </is>
      </c>
      <c r="C122" s="17" t="inlineStr">
        <is>
          <t>Yes</t>
        </is>
      </c>
      <c r="D122" s="17" t="inlineStr">
        <is>
          <t>T1 - Basic test / report</t>
        </is>
      </c>
      <c r="E122" s="18" t="n">
        <v>120</v>
      </c>
      <c r="F122" s="18" t="n">
        <v>24</v>
      </c>
      <c r="G122" s="18" t="n">
        <v>150</v>
      </c>
      <c r="H122" s="18" t="n">
        <v>30</v>
      </c>
      <c r="I122" s="18" t="n">
        <v>449</v>
      </c>
      <c r="J122" s="18" t="n">
        <v>89.8</v>
      </c>
      <c r="K122" s="18" t="n">
        <v>449</v>
      </c>
      <c r="L122" s="18" t="n">
        <v>89.8</v>
      </c>
      <c r="M122" s="18" t="n">
        <v>35</v>
      </c>
      <c r="N122" s="18" t="n">
        <v>7</v>
      </c>
      <c r="O122" s="18" t="n">
        <v>449</v>
      </c>
      <c r="P122" s="18" t="n">
        <v>89.8</v>
      </c>
      <c r="Q122" s="18" t="n">
        <v>45</v>
      </c>
      <c r="R122" s="18" t="n">
        <v>9</v>
      </c>
      <c r="S122" s="18" t="n">
        <v>45</v>
      </c>
      <c r="T122" s="18" t="n">
        <v>9</v>
      </c>
    </row>
    <row r="123">
      <c r="A123" s="17" t="inlineStr">
        <is>
          <t>Orthopedics</t>
        </is>
      </c>
      <c r="B123" s="17" t="inlineStr">
        <is>
          <t>CT Scan Review</t>
        </is>
      </c>
      <c r="C123" s="17" t="inlineStr">
        <is>
          <t>Yes</t>
        </is>
      </c>
      <c r="D123" s="17" t="inlineStr">
        <is>
          <t>T2 - Imaging / advanced diagnostic</t>
        </is>
      </c>
      <c r="E123" s="18" t="n">
        <v>200</v>
      </c>
      <c r="F123" s="18" t="n">
        <v>40</v>
      </c>
      <c r="G123" s="18" t="n">
        <v>250</v>
      </c>
      <c r="H123" s="18" t="n">
        <v>50</v>
      </c>
      <c r="I123" s="18" t="n">
        <v>749</v>
      </c>
      <c r="J123" s="18" t="n">
        <v>149.8</v>
      </c>
      <c r="K123" s="18" t="n">
        <v>749</v>
      </c>
      <c r="L123" s="18" t="n">
        <v>149.8</v>
      </c>
      <c r="M123" s="18" t="n">
        <v>59</v>
      </c>
      <c r="N123" s="18" t="n">
        <v>11.8</v>
      </c>
      <c r="O123" s="18" t="n">
        <v>749</v>
      </c>
      <c r="P123" s="18" t="n">
        <v>149.8</v>
      </c>
      <c r="Q123" s="18" t="n">
        <v>75</v>
      </c>
      <c r="R123" s="18" t="n">
        <v>15</v>
      </c>
      <c r="S123" s="18" t="n">
        <v>75</v>
      </c>
      <c r="T123" s="18" t="n">
        <v>15</v>
      </c>
    </row>
    <row r="124">
      <c r="A124" s="17" t="inlineStr">
        <is>
          <t>Orthopedics</t>
        </is>
      </c>
      <c r="B124" s="17" t="inlineStr">
        <is>
          <t>Fracture Management Review</t>
        </is>
      </c>
      <c r="C124" s="17" t="inlineStr">
        <is>
          <t>Yes</t>
        </is>
      </c>
      <c r="D124" s="17" t="inlineStr">
        <is>
          <t>T3 - Complex / procedure / management</t>
        </is>
      </c>
      <c r="E124" s="18" t="n">
        <v>350</v>
      </c>
      <c r="F124" s="18" t="n">
        <v>70</v>
      </c>
      <c r="G124" s="18" t="n">
        <v>400</v>
      </c>
      <c r="H124" s="18" t="n">
        <v>80</v>
      </c>
      <c r="I124" s="18" t="n">
        <v>1199</v>
      </c>
      <c r="J124" s="18" t="n">
        <v>239.8</v>
      </c>
      <c r="K124" s="18" t="n">
        <v>1199</v>
      </c>
      <c r="L124" s="18" t="n">
        <v>239.8</v>
      </c>
      <c r="M124" s="18" t="n">
        <v>95</v>
      </c>
      <c r="N124" s="18" t="n">
        <v>19</v>
      </c>
      <c r="O124" s="18" t="n">
        <v>1199</v>
      </c>
      <c r="P124" s="18" t="n">
        <v>239.8</v>
      </c>
      <c r="Q124" s="18" t="n">
        <v>119</v>
      </c>
      <c r="R124" s="18" t="n">
        <v>23.8</v>
      </c>
      <c r="S124" s="18" t="n">
        <v>119</v>
      </c>
      <c r="T124" s="18" t="n">
        <v>23.8</v>
      </c>
    </row>
    <row r="125">
      <c r="A125" s="17" t="inlineStr">
        <is>
          <t>Orthopedics</t>
        </is>
      </c>
      <c r="B125" s="17" t="inlineStr">
        <is>
          <t>Hip MRI Review</t>
        </is>
      </c>
      <c r="C125" s="17" t="inlineStr">
        <is>
          <t>Yes</t>
        </is>
      </c>
      <c r="D125" s="17" t="inlineStr">
        <is>
          <t>T2 - Imaging / advanced diagnostic</t>
        </is>
      </c>
      <c r="E125" s="18" t="n">
        <v>200</v>
      </c>
      <c r="F125" s="18" t="n">
        <v>40</v>
      </c>
      <c r="G125" s="18" t="n">
        <v>250</v>
      </c>
      <c r="H125" s="18" t="n">
        <v>50</v>
      </c>
      <c r="I125" s="18" t="n">
        <v>749</v>
      </c>
      <c r="J125" s="18" t="n">
        <v>149.8</v>
      </c>
      <c r="K125" s="18" t="n">
        <v>749</v>
      </c>
      <c r="L125" s="18" t="n">
        <v>149.8</v>
      </c>
      <c r="M125" s="18" t="n">
        <v>59</v>
      </c>
      <c r="N125" s="18" t="n">
        <v>11.8</v>
      </c>
      <c r="O125" s="18" t="n">
        <v>749</v>
      </c>
      <c r="P125" s="18" t="n">
        <v>149.8</v>
      </c>
      <c r="Q125" s="18" t="n">
        <v>75</v>
      </c>
      <c r="R125" s="18" t="n">
        <v>15</v>
      </c>
      <c r="S125" s="18" t="n">
        <v>75</v>
      </c>
      <c r="T125" s="18" t="n">
        <v>15</v>
      </c>
    </row>
    <row r="126">
      <c r="A126" s="17" t="inlineStr">
        <is>
          <t>Orthopedics</t>
        </is>
      </c>
      <c r="B126" s="17" t="inlineStr">
        <is>
          <t>Knee MRI Review</t>
        </is>
      </c>
      <c r="C126" s="17" t="inlineStr">
        <is>
          <t>Yes</t>
        </is>
      </c>
      <c r="D126" s="17" t="inlineStr">
        <is>
          <t>T2 - Imaging / advanced diagnostic</t>
        </is>
      </c>
      <c r="E126" s="18" t="n">
        <v>200</v>
      </c>
      <c r="F126" s="18" t="n">
        <v>40</v>
      </c>
      <c r="G126" s="18" t="n">
        <v>250</v>
      </c>
      <c r="H126" s="18" t="n">
        <v>50</v>
      </c>
      <c r="I126" s="18" t="n">
        <v>749</v>
      </c>
      <c r="J126" s="18" t="n">
        <v>149.8</v>
      </c>
      <c r="K126" s="18" t="n">
        <v>749</v>
      </c>
      <c r="L126" s="18" t="n">
        <v>149.8</v>
      </c>
      <c r="M126" s="18" t="n">
        <v>59</v>
      </c>
      <c r="N126" s="18" t="n">
        <v>11.8</v>
      </c>
      <c r="O126" s="18" t="n">
        <v>749</v>
      </c>
      <c r="P126" s="18" t="n">
        <v>149.8</v>
      </c>
      <c r="Q126" s="18" t="n">
        <v>75</v>
      </c>
      <c r="R126" s="18" t="n">
        <v>15</v>
      </c>
      <c r="S126" s="18" t="n">
        <v>75</v>
      </c>
      <c r="T126" s="18" t="n">
        <v>15</v>
      </c>
    </row>
    <row r="127">
      <c r="A127" s="17" t="inlineStr">
        <is>
          <t>Orthopedics</t>
        </is>
      </c>
      <c r="B127" s="17" t="inlineStr">
        <is>
          <t>Orthopedic MRI Review</t>
        </is>
      </c>
      <c r="C127" s="17" t="inlineStr">
        <is>
          <t>Yes</t>
        </is>
      </c>
      <c r="D127" s="17" t="inlineStr">
        <is>
          <t>T2 - Imaging / advanced diagnostic</t>
        </is>
      </c>
      <c r="E127" s="18" t="n">
        <v>200</v>
      </c>
      <c r="F127" s="18" t="n">
        <v>40</v>
      </c>
      <c r="G127" s="18" t="n">
        <v>250</v>
      </c>
      <c r="H127" s="18" t="n">
        <v>50</v>
      </c>
      <c r="I127" s="18" t="n">
        <v>749</v>
      </c>
      <c r="J127" s="18" t="n">
        <v>149.8</v>
      </c>
      <c r="K127" s="18" t="n">
        <v>749</v>
      </c>
      <c r="L127" s="18" t="n">
        <v>149.8</v>
      </c>
      <c r="M127" s="18" t="n">
        <v>59</v>
      </c>
      <c r="N127" s="18" t="n">
        <v>11.8</v>
      </c>
      <c r="O127" s="18" t="n">
        <v>749</v>
      </c>
      <c r="P127" s="18" t="n">
        <v>149.8</v>
      </c>
      <c r="Q127" s="18" t="n">
        <v>75</v>
      </c>
      <c r="R127" s="18" t="n">
        <v>15</v>
      </c>
      <c r="S127" s="18" t="n">
        <v>75</v>
      </c>
      <c r="T127" s="18" t="n">
        <v>15</v>
      </c>
    </row>
    <row r="128">
      <c r="A128" s="17" t="inlineStr">
        <is>
          <t>Orthopedics</t>
        </is>
      </c>
      <c r="B128" s="17" t="inlineStr">
        <is>
          <t>Post-Operative Review</t>
        </is>
      </c>
      <c r="C128" s="17" t="inlineStr">
        <is>
          <t>Yes</t>
        </is>
      </c>
      <c r="D128" s="17" t="inlineStr">
        <is>
          <t>T3 - Complex / procedure / management</t>
        </is>
      </c>
      <c r="E128" s="18" t="n">
        <v>350</v>
      </c>
      <c r="F128" s="18" t="n">
        <v>70</v>
      </c>
      <c r="G128" s="18" t="n">
        <v>400</v>
      </c>
      <c r="H128" s="18" t="n">
        <v>80</v>
      </c>
      <c r="I128" s="18" t="n">
        <v>1199</v>
      </c>
      <c r="J128" s="18" t="n">
        <v>239.8</v>
      </c>
      <c r="K128" s="18" t="n">
        <v>1199</v>
      </c>
      <c r="L128" s="18" t="n">
        <v>239.8</v>
      </c>
      <c r="M128" s="18" t="n">
        <v>95</v>
      </c>
      <c r="N128" s="18" t="n">
        <v>19</v>
      </c>
      <c r="O128" s="18" t="n">
        <v>1199</v>
      </c>
      <c r="P128" s="18" t="n">
        <v>239.8</v>
      </c>
      <c r="Q128" s="18" t="n">
        <v>119</v>
      </c>
      <c r="R128" s="18" t="n">
        <v>23.8</v>
      </c>
      <c r="S128" s="18" t="n">
        <v>119</v>
      </c>
      <c r="T128" s="18" t="n">
        <v>23.8</v>
      </c>
    </row>
    <row r="129">
      <c r="A129" s="17" t="inlineStr">
        <is>
          <t>Orthopedics</t>
        </is>
      </c>
      <c r="B129" s="17" t="inlineStr">
        <is>
          <t>Pre-Operative Opinion</t>
        </is>
      </c>
      <c r="C129" s="17" t="inlineStr">
        <is>
          <t>Yes</t>
        </is>
      </c>
      <c r="D129" s="17" t="inlineStr">
        <is>
          <t>T5 - Pre-op / oncology-grade</t>
        </is>
      </c>
      <c r="E129" s="18" t="n">
        <v>550</v>
      </c>
      <c r="F129" s="18" t="n">
        <v>110</v>
      </c>
      <c r="G129" s="18" t="n">
        <v>600</v>
      </c>
      <c r="H129" s="18" t="n">
        <v>120</v>
      </c>
      <c r="I129" s="18" t="n">
        <v>1899</v>
      </c>
      <c r="J129" s="18" t="n">
        <v>379.8</v>
      </c>
      <c r="K129" s="18" t="n">
        <v>1899</v>
      </c>
      <c r="L129" s="18" t="n">
        <v>379.8</v>
      </c>
      <c r="M129" s="18" t="n">
        <v>149</v>
      </c>
      <c r="N129" s="18" t="n">
        <v>29.8</v>
      </c>
      <c r="O129" s="18" t="n">
        <v>1899</v>
      </c>
      <c r="P129" s="18" t="n">
        <v>379.8</v>
      </c>
      <c r="Q129" s="18" t="n">
        <v>189</v>
      </c>
      <c r="R129" s="18" t="n">
        <v>37.8</v>
      </c>
      <c r="S129" s="18" t="n">
        <v>189</v>
      </c>
      <c r="T129" s="18" t="n">
        <v>37.8</v>
      </c>
    </row>
    <row r="130">
      <c r="A130" s="17" t="inlineStr">
        <is>
          <t>Orthopedics</t>
        </is>
      </c>
      <c r="B130" s="17" t="inlineStr">
        <is>
          <t>Shoulder MRI Review</t>
        </is>
      </c>
      <c r="C130" s="17" t="inlineStr">
        <is>
          <t>Yes</t>
        </is>
      </c>
      <c r="D130" s="17" t="inlineStr">
        <is>
          <t>T2 - Imaging / advanced diagnostic</t>
        </is>
      </c>
      <c r="E130" s="18" t="n">
        <v>200</v>
      </c>
      <c r="F130" s="18" t="n">
        <v>40</v>
      </c>
      <c r="G130" s="18" t="n">
        <v>250</v>
      </c>
      <c r="H130" s="18" t="n">
        <v>50</v>
      </c>
      <c r="I130" s="18" t="n">
        <v>749</v>
      </c>
      <c r="J130" s="18" t="n">
        <v>149.8</v>
      </c>
      <c r="K130" s="18" t="n">
        <v>749</v>
      </c>
      <c r="L130" s="18" t="n">
        <v>149.8</v>
      </c>
      <c r="M130" s="18" t="n">
        <v>59</v>
      </c>
      <c r="N130" s="18" t="n">
        <v>11.8</v>
      </c>
      <c r="O130" s="18" t="n">
        <v>749</v>
      </c>
      <c r="P130" s="18" t="n">
        <v>149.8</v>
      </c>
      <c r="Q130" s="18" t="n">
        <v>75</v>
      </c>
      <c r="R130" s="18" t="n">
        <v>15</v>
      </c>
      <c r="S130" s="18" t="n">
        <v>75</v>
      </c>
      <c r="T130" s="18" t="n">
        <v>15</v>
      </c>
    </row>
    <row r="131">
      <c r="A131" s="17" t="inlineStr">
        <is>
          <t>Orthopedics</t>
        </is>
      </c>
      <c r="B131" s="17" t="inlineStr">
        <is>
          <t>Spine Imaging Review</t>
        </is>
      </c>
      <c r="C131" s="17" t="inlineStr">
        <is>
          <t>Yes</t>
        </is>
      </c>
      <c r="D131" s="17" t="inlineStr">
        <is>
          <t>T2 - Imaging / advanced diagnostic</t>
        </is>
      </c>
      <c r="E131" s="18" t="n">
        <v>200</v>
      </c>
      <c r="F131" s="18" t="n">
        <v>40</v>
      </c>
      <c r="G131" s="18" t="n">
        <v>250</v>
      </c>
      <c r="H131" s="18" t="n">
        <v>50</v>
      </c>
      <c r="I131" s="18" t="n">
        <v>749</v>
      </c>
      <c r="J131" s="18" t="n">
        <v>149.8</v>
      </c>
      <c r="K131" s="18" t="n">
        <v>749</v>
      </c>
      <c r="L131" s="18" t="n">
        <v>149.8</v>
      </c>
      <c r="M131" s="18" t="n">
        <v>59</v>
      </c>
      <c r="N131" s="18" t="n">
        <v>11.8</v>
      </c>
      <c r="O131" s="18" t="n">
        <v>749</v>
      </c>
      <c r="P131" s="18" t="n">
        <v>149.8</v>
      </c>
      <c r="Q131" s="18" t="n">
        <v>75</v>
      </c>
      <c r="R131" s="18" t="n">
        <v>15</v>
      </c>
      <c r="S131" s="18" t="n">
        <v>75</v>
      </c>
      <c r="T131" s="18" t="n">
        <v>15</v>
      </c>
    </row>
    <row r="132">
      <c r="A132" s="17" t="inlineStr">
        <is>
          <t>Orthopedics</t>
        </is>
      </c>
      <c r="B132" s="17" t="inlineStr">
        <is>
          <t>X-Ray Review</t>
        </is>
      </c>
      <c r="C132" s="17" t="inlineStr">
        <is>
          <t>Yes</t>
        </is>
      </c>
      <c r="D132" s="17" t="inlineStr">
        <is>
          <t>T1 - Basic test / report</t>
        </is>
      </c>
      <c r="E132" s="18" t="n">
        <v>120</v>
      </c>
      <c r="F132" s="18" t="n">
        <v>24</v>
      </c>
      <c r="G132" s="18" t="n">
        <v>150</v>
      </c>
      <c r="H132" s="18" t="n">
        <v>30</v>
      </c>
      <c r="I132" s="18" t="n">
        <v>449</v>
      </c>
      <c r="J132" s="18" t="n">
        <v>89.8</v>
      </c>
      <c r="K132" s="18" t="n">
        <v>449</v>
      </c>
      <c r="L132" s="18" t="n">
        <v>89.8</v>
      </c>
      <c r="M132" s="18" t="n">
        <v>35</v>
      </c>
      <c r="N132" s="18" t="n">
        <v>7</v>
      </c>
      <c r="O132" s="18" t="n">
        <v>449</v>
      </c>
      <c r="P132" s="18" t="n">
        <v>89.8</v>
      </c>
      <c r="Q132" s="18" t="n">
        <v>45</v>
      </c>
      <c r="R132" s="18" t="n">
        <v>9</v>
      </c>
      <c r="S132" s="18" t="n">
        <v>45</v>
      </c>
      <c r="T132" s="18" t="n">
        <v>9</v>
      </c>
    </row>
    <row r="133">
      <c r="A133" s="17" t="inlineStr">
        <is>
          <t>Psychiatry</t>
        </is>
      </c>
      <c r="B133" s="17" t="inlineStr">
        <is>
          <t>Psychiatry Consultation</t>
        </is>
      </c>
      <c r="C133" s="17" t="inlineStr">
        <is>
          <t>Hidden</t>
        </is>
      </c>
      <c r="D133" s="17" t="inlineStr">
        <is>
          <t>T3 - Complex / procedure / management</t>
        </is>
      </c>
      <c r="E133" s="18" t="n">
        <v>350</v>
      </c>
      <c r="F133" s="18" t="n">
        <v>70</v>
      </c>
      <c r="G133" s="18" t="n">
        <v>400</v>
      </c>
      <c r="H133" s="18" t="n">
        <v>80</v>
      </c>
      <c r="I133" s="18" t="n">
        <v>1199</v>
      </c>
      <c r="J133" s="18" t="n">
        <v>239.8</v>
      </c>
      <c r="K133" s="18" t="n">
        <v>1199</v>
      </c>
      <c r="L133" s="18" t="n">
        <v>239.8</v>
      </c>
      <c r="M133" s="18" t="n">
        <v>95</v>
      </c>
      <c r="N133" s="18" t="n">
        <v>19</v>
      </c>
      <c r="O133" s="18" t="n">
        <v>1199</v>
      </c>
      <c r="P133" s="18" t="n">
        <v>239.8</v>
      </c>
      <c r="Q133" s="18" t="n">
        <v>119</v>
      </c>
      <c r="R133" s="18" t="n">
        <v>23.8</v>
      </c>
      <c r="S133" s="18" t="n">
        <v>119</v>
      </c>
      <c r="T133" s="18" t="n">
        <v>23.8</v>
      </c>
    </row>
    <row r="134">
      <c r="A134" s="17" t="inlineStr">
        <is>
          <t>Pulmonology</t>
        </is>
      </c>
      <c r="B134" s="17" t="inlineStr">
        <is>
          <t>Bronchoscopy Report Review</t>
        </is>
      </c>
      <c r="C134" s="17" t="inlineStr">
        <is>
          <t>Yes</t>
        </is>
      </c>
      <c r="D134" s="17" t="inlineStr">
        <is>
          <t>T3 - Complex / procedure / management</t>
        </is>
      </c>
      <c r="E134" s="18" t="n">
        <v>350</v>
      </c>
      <c r="F134" s="18" t="n">
        <v>70</v>
      </c>
      <c r="G134" s="18" t="n">
        <v>400</v>
      </c>
      <c r="H134" s="18" t="n">
        <v>80</v>
      </c>
      <c r="I134" s="18" t="n">
        <v>1199</v>
      </c>
      <c r="J134" s="18" t="n">
        <v>239.8</v>
      </c>
      <c r="K134" s="18" t="n">
        <v>1199</v>
      </c>
      <c r="L134" s="18" t="n">
        <v>239.8</v>
      </c>
      <c r="M134" s="18" t="n">
        <v>95</v>
      </c>
      <c r="N134" s="18" t="n">
        <v>19</v>
      </c>
      <c r="O134" s="18" t="n">
        <v>1199</v>
      </c>
      <c r="P134" s="18" t="n">
        <v>239.8</v>
      </c>
      <c r="Q134" s="18" t="n">
        <v>119</v>
      </c>
      <c r="R134" s="18" t="n">
        <v>23.8</v>
      </c>
      <c r="S134" s="18" t="n">
        <v>119</v>
      </c>
      <c r="T134" s="18" t="n">
        <v>23.8</v>
      </c>
    </row>
    <row r="135">
      <c r="A135" s="17" t="inlineStr">
        <is>
          <t>Pulmonology</t>
        </is>
      </c>
      <c r="B135" s="17" t="inlineStr">
        <is>
          <t>Chest X-Ray Review</t>
        </is>
      </c>
      <c r="C135" s="17" t="inlineStr">
        <is>
          <t>Yes</t>
        </is>
      </c>
      <c r="D135" s="17" t="inlineStr">
        <is>
          <t>T1 - Basic test / report</t>
        </is>
      </c>
      <c r="E135" s="18" t="n">
        <v>120</v>
      </c>
      <c r="F135" s="18" t="n">
        <v>24</v>
      </c>
      <c r="G135" s="18" t="n">
        <v>150</v>
      </c>
      <c r="H135" s="18" t="n">
        <v>30</v>
      </c>
      <c r="I135" s="18" t="n">
        <v>449</v>
      </c>
      <c r="J135" s="18" t="n">
        <v>89.8</v>
      </c>
      <c r="K135" s="18" t="n">
        <v>449</v>
      </c>
      <c r="L135" s="18" t="n">
        <v>89.8</v>
      </c>
      <c r="M135" s="18" t="n">
        <v>35</v>
      </c>
      <c r="N135" s="18" t="n">
        <v>7</v>
      </c>
      <c r="O135" s="18" t="n">
        <v>449</v>
      </c>
      <c r="P135" s="18" t="n">
        <v>89.8</v>
      </c>
      <c r="Q135" s="18" t="n">
        <v>45</v>
      </c>
      <c r="R135" s="18" t="n">
        <v>9</v>
      </c>
      <c r="S135" s="18" t="n">
        <v>45</v>
      </c>
      <c r="T135" s="18" t="n">
        <v>9</v>
      </c>
    </row>
    <row r="136">
      <c r="A136" s="17" t="inlineStr">
        <is>
          <t>Pulmonology</t>
        </is>
      </c>
      <c r="B136" s="17" t="inlineStr">
        <is>
          <t>CT Chest Review</t>
        </is>
      </c>
      <c r="C136" s="17" t="inlineStr">
        <is>
          <t>Yes</t>
        </is>
      </c>
      <c r="D136" s="17" t="inlineStr">
        <is>
          <t>T2 - Imaging / advanced diagnostic</t>
        </is>
      </c>
      <c r="E136" s="18" t="n">
        <v>200</v>
      </c>
      <c r="F136" s="18" t="n">
        <v>40</v>
      </c>
      <c r="G136" s="18" t="n">
        <v>250</v>
      </c>
      <c r="H136" s="18" t="n">
        <v>50</v>
      </c>
      <c r="I136" s="18" t="n">
        <v>749</v>
      </c>
      <c r="J136" s="18" t="n">
        <v>149.8</v>
      </c>
      <c r="K136" s="18" t="n">
        <v>749</v>
      </c>
      <c r="L136" s="18" t="n">
        <v>149.8</v>
      </c>
      <c r="M136" s="18" t="n">
        <v>59</v>
      </c>
      <c r="N136" s="18" t="n">
        <v>11.8</v>
      </c>
      <c r="O136" s="18" t="n">
        <v>749</v>
      </c>
      <c r="P136" s="18" t="n">
        <v>149.8</v>
      </c>
      <c r="Q136" s="18" t="n">
        <v>75</v>
      </c>
      <c r="R136" s="18" t="n">
        <v>15</v>
      </c>
      <c r="S136" s="18" t="n">
        <v>75</v>
      </c>
      <c r="T136" s="18" t="n">
        <v>15</v>
      </c>
    </row>
    <row r="137">
      <c r="A137" s="17" t="inlineStr">
        <is>
          <t>Pulmonology</t>
        </is>
      </c>
      <c r="B137" s="17" t="inlineStr">
        <is>
          <t>HRCT Chest Review</t>
        </is>
      </c>
      <c r="C137" s="17" t="inlineStr">
        <is>
          <t>Yes</t>
        </is>
      </c>
      <c r="D137" s="17" t="inlineStr">
        <is>
          <t>T3 - Complex / procedure / management</t>
        </is>
      </c>
      <c r="E137" s="18" t="n">
        <v>350</v>
      </c>
      <c r="F137" s="18" t="n">
        <v>70</v>
      </c>
      <c r="G137" s="18" t="n">
        <v>400</v>
      </c>
      <c r="H137" s="18" t="n">
        <v>80</v>
      </c>
      <c r="I137" s="18" t="n">
        <v>1199</v>
      </c>
      <c r="J137" s="18" t="n">
        <v>239.8</v>
      </c>
      <c r="K137" s="18" t="n">
        <v>1199</v>
      </c>
      <c r="L137" s="18" t="n">
        <v>239.8</v>
      </c>
      <c r="M137" s="18" t="n">
        <v>95</v>
      </c>
      <c r="N137" s="18" t="n">
        <v>19</v>
      </c>
      <c r="O137" s="18" t="n">
        <v>1199</v>
      </c>
      <c r="P137" s="18" t="n">
        <v>239.8</v>
      </c>
      <c r="Q137" s="18" t="n">
        <v>119</v>
      </c>
      <c r="R137" s="18" t="n">
        <v>23.8</v>
      </c>
      <c r="S137" s="18" t="n">
        <v>119</v>
      </c>
      <c r="T137" s="18" t="n">
        <v>23.8</v>
      </c>
    </row>
    <row r="138">
      <c r="A138" s="17" t="inlineStr">
        <is>
          <t>Pulmonology</t>
        </is>
      </c>
      <c r="B138" s="17" t="inlineStr">
        <is>
          <t>Post-COVID Lung Review</t>
        </is>
      </c>
      <c r="C138" s="17" t="inlineStr">
        <is>
          <t>Yes</t>
        </is>
      </c>
      <c r="D138" s="17" t="inlineStr">
        <is>
          <t>T2 - Imaging / advanced diagnostic</t>
        </is>
      </c>
      <c r="E138" s="18" t="n">
        <v>200</v>
      </c>
      <c r="F138" s="18" t="n">
        <v>40</v>
      </c>
      <c r="G138" s="18" t="n">
        <v>250</v>
      </c>
      <c r="H138" s="18" t="n">
        <v>50</v>
      </c>
      <c r="I138" s="18" t="n">
        <v>749</v>
      </c>
      <c r="J138" s="18" t="n">
        <v>149.8</v>
      </c>
      <c r="K138" s="18" t="n">
        <v>749</v>
      </c>
      <c r="L138" s="18" t="n">
        <v>149.8</v>
      </c>
      <c r="M138" s="18" t="n">
        <v>59</v>
      </c>
      <c r="N138" s="18" t="n">
        <v>11.8</v>
      </c>
      <c r="O138" s="18" t="n">
        <v>749</v>
      </c>
      <c r="P138" s="18" t="n">
        <v>149.8</v>
      </c>
      <c r="Q138" s="18" t="n">
        <v>75</v>
      </c>
      <c r="R138" s="18" t="n">
        <v>15</v>
      </c>
      <c r="S138" s="18" t="n">
        <v>75</v>
      </c>
      <c r="T138" s="18" t="n">
        <v>15</v>
      </c>
    </row>
    <row r="139">
      <c r="A139" s="17" t="inlineStr">
        <is>
          <t>Pulmonology</t>
        </is>
      </c>
      <c r="B139" s="17" t="inlineStr">
        <is>
          <t>Pulmonary Function Test Review</t>
        </is>
      </c>
      <c r="C139" s="17" t="inlineStr">
        <is>
          <t>Yes</t>
        </is>
      </c>
      <c r="D139" s="17" t="inlineStr">
        <is>
          <t>T2 - Imaging / advanced diagnostic</t>
        </is>
      </c>
      <c r="E139" s="18" t="n">
        <v>200</v>
      </c>
      <c r="F139" s="18" t="n">
        <v>40</v>
      </c>
      <c r="G139" s="18" t="n">
        <v>250</v>
      </c>
      <c r="H139" s="18" t="n">
        <v>50</v>
      </c>
      <c r="I139" s="18" t="n">
        <v>749</v>
      </c>
      <c r="J139" s="18" t="n">
        <v>149.8</v>
      </c>
      <c r="K139" s="18" t="n">
        <v>749</v>
      </c>
      <c r="L139" s="18" t="n">
        <v>149.8</v>
      </c>
      <c r="M139" s="18" t="n">
        <v>59</v>
      </c>
      <c r="N139" s="18" t="n">
        <v>11.8</v>
      </c>
      <c r="O139" s="18" t="n">
        <v>749</v>
      </c>
      <c r="P139" s="18" t="n">
        <v>149.8</v>
      </c>
      <c r="Q139" s="18" t="n">
        <v>75</v>
      </c>
      <c r="R139" s="18" t="n">
        <v>15</v>
      </c>
      <c r="S139" s="18" t="n">
        <v>75</v>
      </c>
      <c r="T139" s="18" t="n">
        <v>15</v>
      </c>
    </row>
    <row r="140">
      <c r="A140" s="17" t="inlineStr">
        <is>
          <t>Pulmonology</t>
        </is>
      </c>
      <c r="B140" s="17" t="inlineStr">
        <is>
          <t>Sleep Study (PSG) Review</t>
        </is>
      </c>
      <c r="C140" s="17" t="inlineStr">
        <is>
          <t>Yes</t>
        </is>
      </c>
      <c r="D140" s="17" t="inlineStr">
        <is>
          <t>T3 - Complex / procedure / management</t>
        </is>
      </c>
      <c r="E140" s="18" t="n">
        <v>350</v>
      </c>
      <c r="F140" s="18" t="n">
        <v>70</v>
      </c>
      <c r="G140" s="18" t="n">
        <v>400</v>
      </c>
      <c r="H140" s="18" t="n">
        <v>80</v>
      </c>
      <c r="I140" s="18" t="n">
        <v>1199</v>
      </c>
      <c r="J140" s="18" t="n">
        <v>239.8</v>
      </c>
      <c r="K140" s="18" t="n">
        <v>1199</v>
      </c>
      <c r="L140" s="18" t="n">
        <v>239.8</v>
      </c>
      <c r="M140" s="18" t="n">
        <v>95</v>
      </c>
      <c r="N140" s="18" t="n">
        <v>19</v>
      </c>
      <c r="O140" s="18" t="n">
        <v>1199</v>
      </c>
      <c r="P140" s="18" t="n">
        <v>239.8</v>
      </c>
      <c r="Q140" s="18" t="n">
        <v>119</v>
      </c>
      <c r="R140" s="18" t="n">
        <v>23.8</v>
      </c>
      <c r="S140" s="18" t="n">
        <v>119</v>
      </c>
      <c r="T140" s="18" t="n">
        <v>23.8</v>
      </c>
    </row>
    <row r="141">
      <c r="A141" s="17" t="inlineStr">
        <is>
          <t>Pulmonology</t>
        </is>
      </c>
      <c r="B141" s="17" t="inlineStr">
        <is>
          <t>TB Workup Review</t>
        </is>
      </c>
      <c r="C141" s="17" t="inlineStr">
        <is>
          <t>Yes</t>
        </is>
      </c>
      <c r="D141" s="17" t="inlineStr">
        <is>
          <t>T3 - Complex / procedure / management</t>
        </is>
      </c>
      <c r="E141" s="18" t="n">
        <v>350</v>
      </c>
      <c r="F141" s="18" t="n">
        <v>70</v>
      </c>
      <c r="G141" s="18" t="n">
        <v>400</v>
      </c>
      <c r="H141" s="18" t="n">
        <v>80</v>
      </c>
      <c r="I141" s="18" t="n">
        <v>1199</v>
      </c>
      <c r="J141" s="18" t="n">
        <v>239.8</v>
      </c>
      <c r="K141" s="18" t="n">
        <v>1199</v>
      </c>
      <c r="L141" s="18" t="n">
        <v>239.8</v>
      </c>
      <c r="M141" s="18" t="n">
        <v>95</v>
      </c>
      <c r="N141" s="18" t="n">
        <v>19</v>
      </c>
      <c r="O141" s="18" t="n">
        <v>1199</v>
      </c>
      <c r="P141" s="18" t="n">
        <v>239.8</v>
      </c>
      <c r="Q141" s="18" t="n">
        <v>119</v>
      </c>
      <c r="R141" s="18" t="n">
        <v>23.8</v>
      </c>
      <c r="S141" s="18" t="n">
        <v>119</v>
      </c>
      <c r="T141" s="18" t="n">
        <v>23.8</v>
      </c>
    </row>
    <row r="142">
      <c r="A142" s="17" t="inlineStr">
        <is>
          <t>Pulmonology</t>
        </is>
      </c>
      <c r="B142" s="17" t="inlineStr">
        <is>
          <t>V/Q Scan Review</t>
        </is>
      </c>
      <c r="C142" s="17" t="inlineStr">
        <is>
          <t>Yes</t>
        </is>
      </c>
      <c r="D142" s="17" t="inlineStr">
        <is>
          <t>T3 - Complex / procedure / management</t>
        </is>
      </c>
      <c r="E142" s="18" t="n">
        <v>350</v>
      </c>
      <c r="F142" s="18" t="n">
        <v>70</v>
      </c>
      <c r="G142" s="18" t="n">
        <v>400</v>
      </c>
      <c r="H142" s="18" t="n">
        <v>80</v>
      </c>
      <c r="I142" s="18" t="n">
        <v>1199</v>
      </c>
      <c r="J142" s="18" t="n">
        <v>239.8</v>
      </c>
      <c r="K142" s="18" t="n">
        <v>1199</v>
      </c>
      <c r="L142" s="18" t="n">
        <v>239.8</v>
      </c>
      <c r="M142" s="18" t="n">
        <v>95</v>
      </c>
      <c r="N142" s="18" t="n">
        <v>19</v>
      </c>
      <c r="O142" s="18" t="n">
        <v>1199</v>
      </c>
      <c r="P142" s="18" t="n">
        <v>239.8</v>
      </c>
      <c r="Q142" s="18" t="n">
        <v>119</v>
      </c>
      <c r="R142" s="18" t="n">
        <v>23.8</v>
      </c>
      <c r="S142" s="18" t="n">
        <v>119</v>
      </c>
      <c r="T142" s="18" t="n">
        <v>23.8</v>
      </c>
    </row>
    <row r="143">
      <c r="A143" s="17" t="inlineStr">
        <is>
          <t>Radiology</t>
        </is>
      </c>
      <c r="B143" s="17" t="inlineStr">
        <is>
          <t>Abdomen/Pelvis CT/MRI Review</t>
        </is>
      </c>
      <c r="C143" s="17" t="inlineStr">
        <is>
          <t>Yes</t>
        </is>
      </c>
      <c r="D143" s="17" t="inlineStr">
        <is>
          <t>T2 - Imaging / advanced diagnostic</t>
        </is>
      </c>
      <c r="E143" s="18" t="n">
        <v>200</v>
      </c>
      <c r="F143" s="18" t="n">
        <v>40</v>
      </c>
      <c r="G143" s="18" t="n">
        <v>250</v>
      </c>
      <c r="H143" s="18" t="n">
        <v>50</v>
      </c>
      <c r="I143" s="18" t="n">
        <v>749</v>
      </c>
      <c r="J143" s="18" t="n">
        <v>149.8</v>
      </c>
      <c r="K143" s="18" t="n">
        <v>749</v>
      </c>
      <c r="L143" s="18" t="n">
        <v>149.8</v>
      </c>
      <c r="M143" s="18" t="n">
        <v>59</v>
      </c>
      <c r="N143" s="18" t="n">
        <v>11.8</v>
      </c>
      <c r="O143" s="18" t="n">
        <v>749</v>
      </c>
      <c r="P143" s="18" t="n">
        <v>149.8</v>
      </c>
      <c r="Q143" s="18" t="n">
        <v>75</v>
      </c>
      <c r="R143" s="18" t="n">
        <v>15</v>
      </c>
      <c r="S143" s="18" t="n">
        <v>75</v>
      </c>
      <c r="T143" s="18" t="n">
        <v>15</v>
      </c>
    </row>
    <row r="144">
      <c r="A144" s="17" t="inlineStr">
        <is>
          <t>Radiology</t>
        </is>
      </c>
      <c r="B144" s="17" t="inlineStr">
        <is>
          <t>Cardiac CT Review</t>
        </is>
      </c>
      <c r="C144" s="17" t="inlineStr">
        <is>
          <t>Yes</t>
        </is>
      </c>
      <c r="D144" s="17" t="inlineStr">
        <is>
          <t>T2 - Imaging / advanced diagnostic</t>
        </is>
      </c>
      <c r="E144" s="18" t="n">
        <v>200</v>
      </c>
      <c r="F144" s="18" t="n">
        <v>40</v>
      </c>
      <c r="G144" s="18" t="n">
        <v>250</v>
      </c>
      <c r="H144" s="18" t="n">
        <v>50</v>
      </c>
      <c r="I144" s="18" t="n">
        <v>749</v>
      </c>
      <c r="J144" s="18" t="n">
        <v>149.8</v>
      </c>
      <c r="K144" s="18" t="n">
        <v>749</v>
      </c>
      <c r="L144" s="18" t="n">
        <v>149.8</v>
      </c>
      <c r="M144" s="18" t="n">
        <v>59</v>
      </c>
      <c r="N144" s="18" t="n">
        <v>11.8</v>
      </c>
      <c r="O144" s="18" t="n">
        <v>749</v>
      </c>
      <c r="P144" s="18" t="n">
        <v>149.8</v>
      </c>
      <c r="Q144" s="18" t="n">
        <v>75</v>
      </c>
      <c r="R144" s="18" t="n">
        <v>15</v>
      </c>
      <c r="S144" s="18" t="n">
        <v>75</v>
      </c>
      <c r="T144" s="18" t="n">
        <v>15</v>
      </c>
    </row>
    <row r="145">
      <c r="A145" s="17" t="inlineStr">
        <is>
          <t>Radiology</t>
        </is>
      </c>
      <c r="B145" s="17" t="inlineStr">
        <is>
          <t>Cardiac MRI Review</t>
        </is>
      </c>
      <c r="C145" s="17" t="inlineStr">
        <is>
          <t>Yes</t>
        </is>
      </c>
      <c r="D145" s="17" t="inlineStr">
        <is>
          <t>T2 - Imaging / advanced diagnostic</t>
        </is>
      </c>
      <c r="E145" s="18" t="n">
        <v>200</v>
      </c>
      <c r="F145" s="18" t="n">
        <v>40</v>
      </c>
      <c r="G145" s="18" t="n">
        <v>250</v>
      </c>
      <c r="H145" s="18" t="n">
        <v>50</v>
      </c>
      <c r="I145" s="18" t="n">
        <v>749</v>
      </c>
      <c r="J145" s="18" t="n">
        <v>149.8</v>
      </c>
      <c r="K145" s="18" t="n">
        <v>749</v>
      </c>
      <c r="L145" s="18" t="n">
        <v>149.8</v>
      </c>
      <c r="M145" s="18" t="n">
        <v>59</v>
      </c>
      <c r="N145" s="18" t="n">
        <v>11.8</v>
      </c>
      <c r="O145" s="18" t="n">
        <v>749</v>
      </c>
      <c r="P145" s="18" t="n">
        <v>149.8</v>
      </c>
      <c r="Q145" s="18" t="n">
        <v>75</v>
      </c>
      <c r="R145" s="18" t="n">
        <v>15</v>
      </c>
      <c r="S145" s="18" t="n">
        <v>75</v>
      </c>
      <c r="T145" s="18" t="n">
        <v>15</v>
      </c>
    </row>
    <row r="146">
      <c r="A146" s="17" t="inlineStr">
        <is>
          <t>Radiology</t>
        </is>
      </c>
      <c r="B146" s="17" t="inlineStr">
        <is>
          <t>Chest X-Ray Review</t>
        </is>
      </c>
      <c r="C146" s="17" t="inlineStr">
        <is>
          <t>Yes</t>
        </is>
      </c>
      <c r="D146" s="17" t="inlineStr">
        <is>
          <t>T1 - Basic test / report</t>
        </is>
      </c>
      <c r="E146" s="18" t="n">
        <v>120</v>
      </c>
      <c r="F146" s="18" t="n">
        <v>24</v>
      </c>
      <c r="G146" s="18" t="n">
        <v>150</v>
      </c>
      <c r="H146" s="18" t="n">
        <v>30</v>
      </c>
      <c r="I146" s="18" t="n">
        <v>449</v>
      </c>
      <c r="J146" s="18" t="n">
        <v>89.8</v>
      </c>
      <c r="K146" s="18" t="n">
        <v>449</v>
      </c>
      <c r="L146" s="18" t="n">
        <v>89.8</v>
      </c>
      <c r="M146" s="18" t="n">
        <v>35</v>
      </c>
      <c r="N146" s="18" t="n">
        <v>7</v>
      </c>
      <c r="O146" s="18" t="n">
        <v>449</v>
      </c>
      <c r="P146" s="18" t="n">
        <v>89.8</v>
      </c>
      <c r="Q146" s="18" t="n">
        <v>45</v>
      </c>
      <c r="R146" s="18" t="n">
        <v>9</v>
      </c>
      <c r="S146" s="18" t="n">
        <v>45</v>
      </c>
      <c r="T146" s="18" t="n">
        <v>9</v>
      </c>
    </row>
    <row r="147">
      <c r="A147" s="17" t="inlineStr">
        <is>
          <t>Radiology</t>
        </is>
      </c>
      <c r="B147" s="17" t="inlineStr">
        <is>
          <t>CT Scan Review</t>
        </is>
      </c>
      <c r="C147" s="17" t="inlineStr">
        <is>
          <t>Yes</t>
        </is>
      </c>
      <c r="D147" s="17" t="inlineStr">
        <is>
          <t>T2 - Imaging / advanced diagnostic</t>
        </is>
      </c>
      <c r="E147" s="18" t="n">
        <v>200</v>
      </c>
      <c r="F147" s="18" t="n">
        <v>40</v>
      </c>
      <c r="G147" s="18" t="n">
        <v>250</v>
      </c>
      <c r="H147" s="18" t="n">
        <v>50</v>
      </c>
      <c r="I147" s="18" t="n">
        <v>749</v>
      </c>
      <c r="J147" s="18" t="n">
        <v>149.8</v>
      </c>
      <c r="K147" s="18" t="n">
        <v>749</v>
      </c>
      <c r="L147" s="18" t="n">
        <v>149.8</v>
      </c>
      <c r="M147" s="18" t="n">
        <v>59</v>
      </c>
      <c r="N147" s="18" t="n">
        <v>11.8</v>
      </c>
      <c r="O147" s="18" t="n">
        <v>749</v>
      </c>
      <c r="P147" s="18" t="n">
        <v>149.8</v>
      </c>
      <c r="Q147" s="18" t="n">
        <v>75</v>
      </c>
      <c r="R147" s="18" t="n">
        <v>15</v>
      </c>
      <c r="S147" s="18" t="n">
        <v>75</v>
      </c>
      <c r="T147" s="18" t="n">
        <v>15</v>
      </c>
    </row>
    <row r="148">
      <c r="A148" s="17" t="inlineStr">
        <is>
          <t>Radiology</t>
        </is>
      </c>
      <c r="B148" s="17" t="inlineStr">
        <is>
          <t>CT/MR Angiography Review</t>
        </is>
      </c>
      <c r="C148" s="17" t="inlineStr">
        <is>
          <t>Yes</t>
        </is>
      </c>
      <c r="D148" s="17" t="inlineStr">
        <is>
          <t>T3 - Complex / procedure / management</t>
        </is>
      </c>
      <c r="E148" s="18" t="n">
        <v>350</v>
      </c>
      <c r="F148" s="18" t="n">
        <v>70</v>
      </c>
      <c r="G148" s="18" t="n">
        <v>400</v>
      </c>
      <c r="H148" s="18" t="n">
        <v>80</v>
      </c>
      <c r="I148" s="18" t="n">
        <v>1199</v>
      </c>
      <c r="J148" s="18" t="n">
        <v>239.8</v>
      </c>
      <c r="K148" s="18" t="n">
        <v>1199</v>
      </c>
      <c r="L148" s="18" t="n">
        <v>239.8</v>
      </c>
      <c r="M148" s="18" t="n">
        <v>95</v>
      </c>
      <c r="N148" s="18" t="n">
        <v>19</v>
      </c>
      <c r="O148" s="18" t="n">
        <v>1199</v>
      </c>
      <c r="P148" s="18" t="n">
        <v>239.8</v>
      </c>
      <c r="Q148" s="18" t="n">
        <v>119</v>
      </c>
      <c r="R148" s="18" t="n">
        <v>23.8</v>
      </c>
      <c r="S148" s="18" t="n">
        <v>119</v>
      </c>
      <c r="T148" s="18" t="n">
        <v>23.8</v>
      </c>
    </row>
    <row r="149">
      <c r="A149" s="17" t="inlineStr">
        <is>
          <t>Radiology</t>
        </is>
      </c>
      <c r="B149" s="17" t="inlineStr">
        <is>
          <t>MRI Review</t>
        </is>
      </c>
      <c r="C149" s="17" t="inlineStr">
        <is>
          <t>Yes</t>
        </is>
      </c>
      <c r="D149" s="17" t="inlineStr">
        <is>
          <t>T2 - Imaging / advanced diagnostic</t>
        </is>
      </c>
      <c r="E149" s="18" t="n">
        <v>200</v>
      </c>
      <c r="F149" s="18" t="n">
        <v>40</v>
      </c>
      <c r="G149" s="18" t="n">
        <v>250</v>
      </c>
      <c r="H149" s="18" t="n">
        <v>50</v>
      </c>
      <c r="I149" s="18" t="n">
        <v>749</v>
      </c>
      <c r="J149" s="18" t="n">
        <v>149.8</v>
      </c>
      <c r="K149" s="18" t="n">
        <v>749</v>
      </c>
      <c r="L149" s="18" t="n">
        <v>149.8</v>
      </c>
      <c r="M149" s="18" t="n">
        <v>59</v>
      </c>
      <c r="N149" s="18" t="n">
        <v>11.8</v>
      </c>
      <c r="O149" s="18" t="n">
        <v>749</v>
      </c>
      <c r="P149" s="18" t="n">
        <v>149.8</v>
      </c>
      <c r="Q149" s="18" t="n">
        <v>75</v>
      </c>
      <c r="R149" s="18" t="n">
        <v>15</v>
      </c>
      <c r="S149" s="18" t="n">
        <v>75</v>
      </c>
      <c r="T149" s="18" t="n">
        <v>15</v>
      </c>
    </row>
    <row r="150">
      <c r="A150" s="17" t="inlineStr">
        <is>
          <t>Radiology</t>
        </is>
      </c>
      <c r="B150" s="17" t="inlineStr">
        <is>
          <t>Musculoskeletal Imaging Review</t>
        </is>
      </c>
      <c r="C150" s="17" t="inlineStr">
        <is>
          <t>Yes</t>
        </is>
      </c>
      <c r="D150" s="17" t="inlineStr">
        <is>
          <t>T2 - Imaging / advanced diagnostic</t>
        </is>
      </c>
      <c r="E150" s="18" t="n">
        <v>200</v>
      </c>
      <c r="F150" s="18" t="n">
        <v>40</v>
      </c>
      <c r="G150" s="18" t="n">
        <v>250</v>
      </c>
      <c r="H150" s="18" t="n">
        <v>50</v>
      </c>
      <c r="I150" s="18" t="n">
        <v>749</v>
      </c>
      <c r="J150" s="18" t="n">
        <v>149.8</v>
      </c>
      <c r="K150" s="18" t="n">
        <v>749</v>
      </c>
      <c r="L150" s="18" t="n">
        <v>149.8</v>
      </c>
      <c r="M150" s="18" t="n">
        <v>59</v>
      </c>
      <c r="N150" s="18" t="n">
        <v>11.8</v>
      </c>
      <c r="O150" s="18" t="n">
        <v>749</v>
      </c>
      <c r="P150" s="18" t="n">
        <v>149.8</v>
      </c>
      <c r="Q150" s="18" t="n">
        <v>75</v>
      </c>
      <c r="R150" s="18" t="n">
        <v>15</v>
      </c>
      <c r="S150" s="18" t="n">
        <v>75</v>
      </c>
      <c r="T150" s="18" t="n">
        <v>15</v>
      </c>
    </row>
    <row r="151">
      <c r="A151" s="17" t="inlineStr">
        <is>
          <t>Radiology</t>
        </is>
      </c>
      <c r="B151" s="17" t="inlineStr">
        <is>
          <t>Neuro Imaging Review</t>
        </is>
      </c>
      <c r="C151" s="17" t="inlineStr">
        <is>
          <t>Yes</t>
        </is>
      </c>
      <c r="D151" s="17" t="inlineStr">
        <is>
          <t>T2 - Imaging / advanced diagnostic</t>
        </is>
      </c>
      <c r="E151" s="18" t="n">
        <v>200</v>
      </c>
      <c r="F151" s="18" t="n">
        <v>40</v>
      </c>
      <c r="G151" s="18" t="n">
        <v>250</v>
      </c>
      <c r="H151" s="18" t="n">
        <v>50</v>
      </c>
      <c r="I151" s="18" t="n">
        <v>749</v>
      </c>
      <c r="J151" s="18" t="n">
        <v>149.8</v>
      </c>
      <c r="K151" s="18" t="n">
        <v>749</v>
      </c>
      <c r="L151" s="18" t="n">
        <v>149.8</v>
      </c>
      <c r="M151" s="18" t="n">
        <v>59</v>
      </c>
      <c r="N151" s="18" t="n">
        <v>11.8</v>
      </c>
      <c r="O151" s="18" t="n">
        <v>749</v>
      </c>
      <c r="P151" s="18" t="n">
        <v>149.8</v>
      </c>
      <c r="Q151" s="18" t="n">
        <v>75</v>
      </c>
      <c r="R151" s="18" t="n">
        <v>15</v>
      </c>
      <c r="S151" s="18" t="n">
        <v>75</v>
      </c>
      <c r="T151" s="18" t="n">
        <v>15</v>
      </c>
    </row>
    <row r="152">
      <c r="A152" s="17" t="inlineStr">
        <is>
          <t>Radiology</t>
        </is>
      </c>
      <c r="B152" s="17" t="inlineStr">
        <is>
          <t>Oncology PET-CT Staging</t>
        </is>
      </c>
      <c r="C152" s="17" t="inlineStr">
        <is>
          <t>Hidden</t>
        </is>
      </c>
      <c r="D152" s="17" t="inlineStr">
        <is>
          <t>T5 - Pre-op / oncology-grade</t>
        </is>
      </c>
      <c r="E152" s="18" t="n">
        <v>550</v>
      </c>
      <c r="F152" s="18" t="n">
        <v>110</v>
      </c>
      <c r="G152" s="18" t="n">
        <v>600</v>
      </c>
      <c r="H152" s="18" t="n">
        <v>120</v>
      </c>
      <c r="I152" s="18" t="n">
        <v>1899</v>
      </c>
      <c r="J152" s="18" t="n">
        <v>379.8</v>
      </c>
      <c r="K152" s="18" t="n">
        <v>1899</v>
      </c>
      <c r="L152" s="18" t="n">
        <v>379.8</v>
      </c>
      <c r="M152" s="18" t="n">
        <v>149</v>
      </c>
      <c r="N152" s="18" t="n">
        <v>29.8</v>
      </c>
      <c r="O152" s="18" t="n">
        <v>1899</v>
      </c>
      <c r="P152" s="18" t="n">
        <v>379.8</v>
      </c>
      <c r="Q152" s="18" t="n">
        <v>189</v>
      </c>
      <c r="R152" s="18" t="n">
        <v>37.8</v>
      </c>
      <c r="S152" s="18" t="n">
        <v>189</v>
      </c>
      <c r="T152" s="18" t="n">
        <v>37.8</v>
      </c>
    </row>
    <row r="153">
      <c r="A153" s="17" t="inlineStr">
        <is>
          <t>Radiology</t>
        </is>
      </c>
      <c r="B153" s="17" t="inlineStr">
        <is>
          <t>Spine MRI Review</t>
        </is>
      </c>
      <c r="C153" s="17" t="inlineStr">
        <is>
          <t>Yes</t>
        </is>
      </c>
      <c r="D153" s="17" t="inlineStr">
        <is>
          <t>T2 - Imaging / advanced diagnostic</t>
        </is>
      </c>
      <c r="E153" s="18" t="n">
        <v>200</v>
      </c>
      <c r="F153" s="18" t="n">
        <v>40</v>
      </c>
      <c r="G153" s="18" t="n">
        <v>250</v>
      </c>
      <c r="H153" s="18" t="n">
        <v>50</v>
      </c>
      <c r="I153" s="18" t="n">
        <v>749</v>
      </c>
      <c r="J153" s="18" t="n">
        <v>149.8</v>
      </c>
      <c r="K153" s="18" t="n">
        <v>749</v>
      </c>
      <c r="L153" s="18" t="n">
        <v>149.8</v>
      </c>
      <c r="M153" s="18" t="n">
        <v>59</v>
      </c>
      <c r="N153" s="18" t="n">
        <v>11.8</v>
      </c>
      <c r="O153" s="18" t="n">
        <v>749</v>
      </c>
      <c r="P153" s="18" t="n">
        <v>149.8</v>
      </c>
      <c r="Q153" s="18" t="n">
        <v>75</v>
      </c>
      <c r="R153" s="18" t="n">
        <v>15</v>
      </c>
      <c r="S153" s="18" t="n">
        <v>75</v>
      </c>
      <c r="T153" s="18" t="n">
        <v>15</v>
      </c>
    </row>
    <row r="154">
      <c r="A154" s="17" t="inlineStr">
        <is>
          <t>Radiology</t>
        </is>
      </c>
      <c r="B154" s="17" t="inlineStr">
        <is>
          <t>Ultrasound Review</t>
        </is>
      </c>
      <c r="C154" s="17" t="inlineStr">
        <is>
          <t>Yes</t>
        </is>
      </c>
      <c r="D154" s="17" t="inlineStr">
        <is>
          <t>T1 - Basic test / report</t>
        </is>
      </c>
      <c r="E154" s="18" t="n">
        <v>120</v>
      </c>
      <c r="F154" s="18" t="n">
        <v>24</v>
      </c>
      <c r="G154" s="18" t="n">
        <v>150</v>
      </c>
      <c r="H154" s="18" t="n">
        <v>30</v>
      </c>
      <c r="I154" s="18" t="n">
        <v>449</v>
      </c>
      <c r="J154" s="18" t="n">
        <v>89.8</v>
      </c>
      <c r="K154" s="18" t="n">
        <v>449</v>
      </c>
      <c r="L154" s="18" t="n">
        <v>89.8</v>
      </c>
      <c r="M154" s="18" t="n">
        <v>35</v>
      </c>
      <c r="N154" s="18" t="n">
        <v>7</v>
      </c>
      <c r="O154" s="18" t="n">
        <v>449</v>
      </c>
      <c r="P154" s="18" t="n">
        <v>89.8</v>
      </c>
      <c r="Q154" s="18" t="n">
        <v>45</v>
      </c>
      <c r="R154" s="18" t="n">
        <v>9</v>
      </c>
      <c r="S154" s="18" t="n">
        <v>45</v>
      </c>
      <c r="T154" s="18" t="n">
        <v>9</v>
      </c>
    </row>
    <row r="155">
      <c r="A155" s="17" t="inlineStr">
        <is>
          <t>Rheumatology</t>
        </is>
      </c>
      <c r="B155" s="17" t="inlineStr">
        <is>
          <t>Rheumatology Consultation</t>
        </is>
      </c>
      <c r="C155" s="17" t="inlineStr">
        <is>
          <t>Yes</t>
        </is>
      </c>
      <c r="D155" s="17" t="inlineStr">
        <is>
          <t>T3 - Complex / procedure / management</t>
        </is>
      </c>
      <c r="E155" s="18" t="n">
        <v>350</v>
      </c>
      <c r="F155" s="18" t="n">
        <v>70</v>
      </c>
      <c r="G155" s="18" t="n">
        <v>400</v>
      </c>
      <c r="H155" s="18" t="n">
        <v>80</v>
      </c>
      <c r="I155" s="18" t="n">
        <v>1199</v>
      </c>
      <c r="J155" s="18" t="n">
        <v>239.8</v>
      </c>
      <c r="K155" s="18" t="n">
        <v>1199</v>
      </c>
      <c r="L155" s="18" t="n">
        <v>239.8</v>
      </c>
      <c r="M155" s="18" t="n">
        <v>95</v>
      </c>
      <c r="N155" s="18" t="n">
        <v>19</v>
      </c>
      <c r="O155" s="18" t="n">
        <v>1199</v>
      </c>
      <c r="P155" s="18" t="n">
        <v>239.8</v>
      </c>
      <c r="Q155" s="18" t="n">
        <v>119</v>
      </c>
      <c r="R155" s="18" t="n">
        <v>23.8</v>
      </c>
      <c r="S155" s="18" t="n">
        <v>119</v>
      </c>
      <c r="T155" s="18" t="n">
        <v>23.8</v>
      </c>
    </row>
    <row r="156">
      <c r="A156" s="17" t="inlineStr">
        <is>
          <t>Urology</t>
        </is>
      </c>
      <c r="B156" s="17" t="inlineStr">
        <is>
          <t>Bladder Ultrasound Review</t>
        </is>
      </c>
      <c r="C156" s="17" t="inlineStr">
        <is>
          <t>Yes</t>
        </is>
      </c>
      <c r="D156" s="17" t="inlineStr">
        <is>
          <t>T1 - Basic test / report</t>
        </is>
      </c>
      <c r="E156" s="18" t="n">
        <v>120</v>
      </c>
      <c r="F156" s="18" t="n">
        <v>24</v>
      </c>
      <c r="G156" s="18" t="n">
        <v>150</v>
      </c>
      <c r="H156" s="18" t="n">
        <v>30</v>
      </c>
      <c r="I156" s="18" t="n">
        <v>449</v>
      </c>
      <c r="J156" s="18" t="n">
        <v>89.8</v>
      </c>
      <c r="K156" s="18" t="n">
        <v>449</v>
      </c>
      <c r="L156" s="18" t="n">
        <v>89.8</v>
      </c>
      <c r="M156" s="18" t="n">
        <v>35</v>
      </c>
      <c r="N156" s="18" t="n">
        <v>7</v>
      </c>
      <c r="O156" s="18" t="n">
        <v>449</v>
      </c>
      <c r="P156" s="18" t="n">
        <v>89.8</v>
      </c>
      <c r="Q156" s="18" t="n">
        <v>45</v>
      </c>
      <c r="R156" s="18" t="n">
        <v>9</v>
      </c>
      <c r="S156" s="18" t="n">
        <v>45</v>
      </c>
      <c r="T156" s="18" t="n">
        <v>9</v>
      </c>
    </row>
    <row r="157">
      <c r="A157" s="17" t="inlineStr">
        <is>
          <t>Urology</t>
        </is>
      </c>
      <c r="B157" s="17" t="inlineStr">
        <is>
          <t>Cystoscopy Report Review</t>
        </is>
      </c>
      <c r="C157" s="17" t="inlineStr">
        <is>
          <t>Yes</t>
        </is>
      </c>
      <c r="D157" s="17" t="inlineStr">
        <is>
          <t>T3 - Complex / procedure / management</t>
        </is>
      </c>
      <c r="E157" s="18" t="n">
        <v>350</v>
      </c>
      <c r="F157" s="18" t="n">
        <v>70</v>
      </c>
      <c r="G157" s="18" t="n">
        <v>400</v>
      </c>
      <c r="H157" s="18" t="n">
        <v>80</v>
      </c>
      <c r="I157" s="18" t="n">
        <v>1199</v>
      </c>
      <c r="J157" s="18" t="n">
        <v>239.8</v>
      </c>
      <c r="K157" s="18" t="n">
        <v>1199</v>
      </c>
      <c r="L157" s="18" t="n">
        <v>239.8</v>
      </c>
      <c r="M157" s="18" t="n">
        <v>95</v>
      </c>
      <c r="N157" s="18" t="n">
        <v>19</v>
      </c>
      <c r="O157" s="18" t="n">
        <v>1199</v>
      </c>
      <c r="P157" s="18" t="n">
        <v>239.8</v>
      </c>
      <c r="Q157" s="18" t="n">
        <v>119</v>
      </c>
      <c r="R157" s="18" t="n">
        <v>23.8</v>
      </c>
      <c r="S157" s="18" t="n">
        <v>119</v>
      </c>
      <c r="T157" s="18" t="n">
        <v>23.8</v>
      </c>
    </row>
    <row r="158">
      <c r="A158" s="17" t="inlineStr">
        <is>
          <t>Urology</t>
        </is>
      </c>
      <c r="B158" s="17" t="inlineStr">
        <is>
          <t>Kidney/Ureter CT Review</t>
        </is>
      </c>
      <c r="C158" s="17" t="inlineStr">
        <is>
          <t>Yes</t>
        </is>
      </c>
      <c r="D158" s="17" t="inlineStr">
        <is>
          <t>T2 - Imaging / advanced diagnostic</t>
        </is>
      </c>
      <c r="E158" s="18" t="n">
        <v>200</v>
      </c>
      <c r="F158" s="18" t="n">
        <v>40</v>
      </c>
      <c r="G158" s="18" t="n">
        <v>250</v>
      </c>
      <c r="H158" s="18" t="n">
        <v>50</v>
      </c>
      <c r="I158" s="18" t="n">
        <v>749</v>
      </c>
      <c r="J158" s="18" t="n">
        <v>149.8</v>
      </c>
      <c r="K158" s="18" t="n">
        <v>749</v>
      </c>
      <c r="L158" s="18" t="n">
        <v>149.8</v>
      </c>
      <c r="M158" s="18" t="n">
        <v>59</v>
      </c>
      <c r="N158" s="18" t="n">
        <v>11.8</v>
      </c>
      <c r="O158" s="18" t="n">
        <v>749</v>
      </c>
      <c r="P158" s="18" t="n">
        <v>149.8</v>
      </c>
      <c r="Q158" s="18" t="n">
        <v>75</v>
      </c>
      <c r="R158" s="18" t="n">
        <v>15</v>
      </c>
      <c r="S158" s="18" t="n">
        <v>75</v>
      </c>
      <c r="T158" s="18" t="n">
        <v>15</v>
      </c>
    </row>
    <row r="159">
      <c r="A159" s="17" t="inlineStr">
        <is>
          <t>Urology</t>
        </is>
      </c>
      <c r="B159" s="17" t="inlineStr">
        <is>
          <t>MRI Prostate Review</t>
        </is>
      </c>
      <c r="C159" s="17" t="inlineStr">
        <is>
          <t>Yes</t>
        </is>
      </c>
      <c r="D159" s="17" t="inlineStr">
        <is>
          <t>T2 - Imaging / advanced diagnostic</t>
        </is>
      </c>
      <c r="E159" s="18" t="n">
        <v>200</v>
      </c>
      <c r="F159" s="18" t="n">
        <v>40</v>
      </c>
      <c r="G159" s="18" t="n">
        <v>250</v>
      </c>
      <c r="H159" s="18" t="n">
        <v>50</v>
      </c>
      <c r="I159" s="18" t="n">
        <v>749</v>
      </c>
      <c r="J159" s="18" t="n">
        <v>149.8</v>
      </c>
      <c r="K159" s="18" t="n">
        <v>749</v>
      </c>
      <c r="L159" s="18" t="n">
        <v>149.8</v>
      </c>
      <c r="M159" s="18" t="n">
        <v>59</v>
      </c>
      <c r="N159" s="18" t="n">
        <v>11.8</v>
      </c>
      <c r="O159" s="18" t="n">
        <v>749</v>
      </c>
      <c r="P159" s="18" t="n">
        <v>149.8</v>
      </c>
      <c r="Q159" s="18" t="n">
        <v>75</v>
      </c>
      <c r="R159" s="18" t="n">
        <v>15</v>
      </c>
      <c r="S159" s="18" t="n">
        <v>75</v>
      </c>
      <c r="T159" s="18" t="n">
        <v>15</v>
      </c>
    </row>
    <row r="160">
      <c r="A160" s="17" t="inlineStr">
        <is>
          <t>Urology</t>
        </is>
      </c>
      <c r="B160" s="17" t="inlineStr">
        <is>
          <t>Prostate Workup Review</t>
        </is>
      </c>
      <c r="C160" s="17" t="inlineStr">
        <is>
          <t>Yes</t>
        </is>
      </c>
      <c r="D160" s="17" t="inlineStr">
        <is>
          <t>T3 - Complex / procedure / management</t>
        </is>
      </c>
      <c r="E160" s="18" t="n">
        <v>350</v>
      </c>
      <c r="F160" s="18" t="n">
        <v>70</v>
      </c>
      <c r="G160" s="18" t="n">
        <v>400</v>
      </c>
      <c r="H160" s="18" t="n">
        <v>80</v>
      </c>
      <c r="I160" s="18" t="n">
        <v>1199</v>
      </c>
      <c r="J160" s="18" t="n">
        <v>239.8</v>
      </c>
      <c r="K160" s="18" t="n">
        <v>1199</v>
      </c>
      <c r="L160" s="18" t="n">
        <v>239.8</v>
      </c>
      <c r="M160" s="18" t="n">
        <v>95</v>
      </c>
      <c r="N160" s="18" t="n">
        <v>19</v>
      </c>
      <c r="O160" s="18" t="n">
        <v>1199</v>
      </c>
      <c r="P160" s="18" t="n">
        <v>239.8</v>
      </c>
      <c r="Q160" s="18" t="n">
        <v>119</v>
      </c>
      <c r="R160" s="18" t="n">
        <v>23.8</v>
      </c>
      <c r="S160" s="18" t="n">
        <v>119</v>
      </c>
      <c r="T160" s="18" t="n">
        <v>23.8</v>
      </c>
    </row>
    <row r="161">
      <c r="A161" s="17" t="inlineStr">
        <is>
          <t>Urology</t>
        </is>
      </c>
      <c r="B161" s="17" t="inlineStr">
        <is>
          <t>PSA &amp; Prostate Panel Review</t>
        </is>
      </c>
      <c r="C161" s="17" t="inlineStr">
        <is>
          <t>Yes</t>
        </is>
      </c>
      <c r="D161" s="17" t="inlineStr">
        <is>
          <t>T2 - Imaging / advanced diagnostic</t>
        </is>
      </c>
      <c r="E161" s="18" t="n">
        <v>200</v>
      </c>
      <c r="F161" s="18" t="n">
        <v>40</v>
      </c>
      <c r="G161" s="18" t="n">
        <v>250</v>
      </c>
      <c r="H161" s="18" t="n">
        <v>50</v>
      </c>
      <c r="I161" s="18" t="n">
        <v>749</v>
      </c>
      <c r="J161" s="18" t="n">
        <v>149.8</v>
      </c>
      <c r="K161" s="18" t="n">
        <v>749</v>
      </c>
      <c r="L161" s="18" t="n">
        <v>149.8</v>
      </c>
      <c r="M161" s="18" t="n">
        <v>59</v>
      </c>
      <c r="N161" s="18" t="n">
        <v>11.8</v>
      </c>
      <c r="O161" s="18" t="n">
        <v>749</v>
      </c>
      <c r="P161" s="18" t="n">
        <v>149.8</v>
      </c>
      <c r="Q161" s="18" t="n">
        <v>75</v>
      </c>
      <c r="R161" s="18" t="n">
        <v>15</v>
      </c>
      <c r="S161" s="18" t="n">
        <v>75</v>
      </c>
      <c r="T161" s="18" t="n">
        <v>15</v>
      </c>
    </row>
    <row r="162">
      <c r="A162" s="17" t="inlineStr">
        <is>
          <t>Urology</t>
        </is>
      </c>
      <c r="B162" s="17" t="inlineStr">
        <is>
          <t>Renal Stone Management Review</t>
        </is>
      </c>
      <c r="C162" s="17" t="inlineStr">
        <is>
          <t>Yes</t>
        </is>
      </c>
      <c r="D162" s="17" t="inlineStr">
        <is>
          <t>T3 - Complex / procedure / management</t>
        </is>
      </c>
      <c r="E162" s="18" t="n">
        <v>350</v>
      </c>
      <c r="F162" s="18" t="n">
        <v>70</v>
      </c>
      <c r="G162" s="18" t="n">
        <v>400</v>
      </c>
      <c r="H162" s="18" t="n">
        <v>80</v>
      </c>
      <c r="I162" s="18" t="n">
        <v>1199</v>
      </c>
      <c r="J162" s="18" t="n">
        <v>239.8</v>
      </c>
      <c r="K162" s="18" t="n">
        <v>1199</v>
      </c>
      <c r="L162" s="18" t="n">
        <v>239.8</v>
      </c>
      <c r="M162" s="18" t="n">
        <v>95</v>
      </c>
      <c r="N162" s="18" t="n">
        <v>19</v>
      </c>
      <c r="O162" s="18" t="n">
        <v>1199</v>
      </c>
      <c r="P162" s="18" t="n">
        <v>239.8</v>
      </c>
      <c r="Q162" s="18" t="n">
        <v>119</v>
      </c>
      <c r="R162" s="18" t="n">
        <v>23.8</v>
      </c>
      <c r="S162" s="18" t="n">
        <v>119</v>
      </c>
      <c r="T162" s="18" t="n">
        <v>23.8</v>
      </c>
    </row>
    <row r="163">
      <c r="A163" s="17" t="inlineStr">
        <is>
          <t>Urology</t>
        </is>
      </c>
      <c r="B163" s="17" t="inlineStr">
        <is>
          <t>Scrotal Ultrasound Review</t>
        </is>
      </c>
      <c r="C163" s="17" t="inlineStr">
        <is>
          <t>Yes</t>
        </is>
      </c>
      <c r="D163" s="17" t="inlineStr">
        <is>
          <t>T1 - Basic test / report</t>
        </is>
      </c>
      <c r="E163" s="18" t="n">
        <v>120</v>
      </c>
      <c r="F163" s="18" t="n">
        <v>24</v>
      </c>
      <c r="G163" s="18" t="n">
        <v>150</v>
      </c>
      <c r="H163" s="18" t="n">
        <v>30</v>
      </c>
      <c r="I163" s="18" t="n">
        <v>449</v>
      </c>
      <c r="J163" s="18" t="n">
        <v>89.8</v>
      </c>
      <c r="K163" s="18" t="n">
        <v>449</v>
      </c>
      <c r="L163" s="18" t="n">
        <v>89.8</v>
      </c>
      <c r="M163" s="18" t="n">
        <v>35</v>
      </c>
      <c r="N163" s="18" t="n">
        <v>7</v>
      </c>
      <c r="O163" s="18" t="n">
        <v>449</v>
      </c>
      <c r="P163" s="18" t="n">
        <v>89.8</v>
      </c>
      <c r="Q163" s="18" t="n">
        <v>45</v>
      </c>
      <c r="R163" s="18" t="n">
        <v>9</v>
      </c>
      <c r="S163" s="18" t="n">
        <v>45</v>
      </c>
      <c r="T163" s="18" t="n">
        <v>9</v>
      </c>
    </row>
    <row r="164">
      <c r="A164" s="17" t="inlineStr">
        <is>
          <t>Urology</t>
        </is>
      </c>
      <c r="B164" s="17" t="inlineStr">
        <is>
          <t>Urodynamics Study Review</t>
        </is>
      </c>
      <c r="C164" s="17" t="inlineStr">
        <is>
          <t>Yes</t>
        </is>
      </c>
      <c r="D164" s="17" t="inlineStr">
        <is>
          <t>T3 - Complex / procedure / management</t>
        </is>
      </c>
      <c r="E164" s="18" t="n">
        <v>350</v>
      </c>
      <c r="F164" s="18" t="n">
        <v>70</v>
      </c>
      <c r="G164" s="18" t="n">
        <v>400</v>
      </c>
      <c r="H164" s="18" t="n">
        <v>80</v>
      </c>
      <c r="I164" s="18" t="n">
        <v>1199</v>
      </c>
      <c r="J164" s="18" t="n">
        <v>239.8</v>
      </c>
      <c r="K164" s="18" t="n">
        <v>1199</v>
      </c>
      <c r="L164" s="18" t="n">
        <v>239.8</v>
      </c>
      <c r="M164" s="18" t="n">
        <v>95</v>
      </c>
      <c r="N164" s="18" t="n">
        <v>19</v>
      </c>
      <c r="O164" s="18" t="n">
        <v>1199</v>
      </c>
      <c r="P164" s="18" t="n">
        <v>239.8</v>
      </c>
      <c r="Q164" s="18" t="n">
        <v>119</v>
      </c>
      <c r="R164" s="18" t="n">
        <v>23.8</v>
      </c>
      <c r="S164" s="18" t="n">
        <v>119</v>
      </c>
      <c r="T164" s="18" t="n">
        <v>23.8</v>
      </c>
    </row>
    <row r="165">
      <c r="A165" s="17" t="inlineStr">
        <is>
          <t>Vascular Surgery</t>
        </is>
      </c>
      <c r="B165" s="17" t="inlineStr">
        <is>
          <t>Vascular Surgery Consultation</t>
        </is>
      </c>
      <c r="C165" s="17" t="inlineStr">
        <is>
          <t>Yes</t>
        </is>
      </c>
      <c r="D165" s="17" t="inlineStr">
        <is>
          <t>T3 - Complex / procedure / management</t>
        </is>
      </c>
      <c r="E165" s="18" t="n">
        <v>350</v>
      </c>
      <c r="F165" s="18" t="n">
        <v>70</v>
      </c>
      <c r="G165" s="18" t="n">
        <v>400</v>
      </c>
      <c r="H165" s="18" t="n">
        <v>80</v>
      </c>
      <c r="I165" s="18" t="n">
        <v>1199</v>
      </c>
      <c r="J165" s="18" t="n">
        <v>239.8</v>
      </c>
      <c r="K165" s="18" t="n">
        <v>1199</v>
      </c>
      <c r="L165" s="18" t="n">
        <v>239.8</v>
      </c>
      <c r="M165" s="18" t="n">
        <v>95</v>
      </c>
      <c r="N165" s="18" t="n">
        <v>19</v>
      </c>
      <c r="O165" s="18" t="n">
        <v>1199</v>
      </c>
      <c r="P165" s="18" t="n">
        <v>239.8</v>
      </c>
      <c r="Q165" s="18" t="n">
        <v>119</v>
      </c>
      <c r="R165" s="18" t="n">
        <v>23.8</v>
      </c>
      <c r="S165" s="18" t="n">
        <v>119</v>
      </c>
      <c r="T165" s="18" t="n">
        <v>23.8</v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2026-07-28T07:46:03Z</dcterms:created>
  <dcterms:modified xmlns:dcterms="http://purl.org/dc/terms/" xmlns:xsi="http://www.w3.org/2001/XMLSchema-instance" xsi:type="dcterms:W3CDTF">2026-07-29T08:07:40Z</dcterms:modified>
  <cp:revision>0</cp:revision>
</cp:coreProperties>
</file>